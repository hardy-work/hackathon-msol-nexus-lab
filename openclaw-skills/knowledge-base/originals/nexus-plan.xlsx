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urce plan" sheetId="1" r:id="rId5"/>
    <sheet state="visible" name="Summary project" sheetId="2" r:id="rId6"/>
    <sheet state="visible" name="Master schedule" sheetId="3" r:id="rId7"/>
    <sheet state="visible" name="Backlog" sheetId="4" r:id="rId8"/>
    <sheet state="visible" name="Sprint 1" sheetId="5" r:id="rId9"/>
    <sheet state="visible" name="Risk management " sheetId="6" r:id="rId10"/>
    <sheet state="visible" name="Isssue management" sheetId="7" r:id="rId11"/>
    <sheet state="visible" name="Config" sheetId="8" r:id="rId12"/>
  </sheets>
  <definedNames/>
  <calcPr/>
</workbook>
</file>

<file path=xl/sharedStrings.xml><?xml version="1.0" encoding="utf-8"?>
<sst xmlns="http://schemas.openxmlformats.org/spreadsheetml/2006/main" count="589" uniqueCount="264">
  <si>
    <t>PROJECT SUMMARY</t>
  </si>
  <si>
    <t>Master schedule</t>
  </si>
  <si>
    <r>
      <rPr>
        <rFont val="Manrope"/>
        <b/>
        <color rgb="FFFFFFFF"/>
        <sz val="20.0"/>
      </rPr>
      <t xml:space="preserve">KẾ HOẠCH QUẢN LÝ NGUỒN LỰC
</t>
    </r>
    <r>
      <rPr>
        <rFont val="Manrope"/>
        <b/>
        <color rgb="FFFFFF00"/>
        <sz val="16.0"/>
      </rPr>
      <t>Dự án Project Based/ Labo host management</t>
    </r>
  </si>
  <si>
    <t>Thời gian làm việc mỗi ngày</t>
  </si>
  <si>
    <t>No</t>
  </si>
  <si>
    <t>Kế hoạch phân bổ nguồn lực</t>
  </si>
  <si>
    <t>Sprint</t>
  </si>
  <si>
    <t>Start date</t>
  </si>
  <si>
    <t>End date</t>
  </si>
  <si>
    <t>Re-est (h)</t>
  </si>
  <si>
    <t>#</t>
  </si>
  <si>
    <t>Remaining Time (h)</t>
  </si>
  <si>
    <t>Progress</t>
  </si>
  <si>
    <t>Status</t>
  </si>
  <si>
    <t>Member</t>
  </si>
  <si>
    <t>Link Weekly  Report</t>
  </si>
  <si>
    <t>Scope</t>
  </si>
  <si>
    <t>Note</t>
  </si>
  <si>
    <t>Role</t>
  </si>
  <si>
    <t>July</t>
  </si>
  <si>
    <t>August</t>
  </si>
  <si>
    <t>PIC</t>
  </si>
  <si>
    <t>NGUỒN LỰC DỰ KIẾN (MM)</t>
  </si>
  <si>
    <t>Sprint 1</t>
  </si>
  <si>
    <t>No.</t>
  </si>
  <si>
    <t>NGUỒN LỰC PHÂN BỔ VÀO DỰ ÁN (MM)</t>
  </si>
  <si>
    <t>W1</t>
  </si>
  <si>
    <t>W2</t>
  </si>
  <si>
    <t>Category Milestone</t>
  </si>
  <si>
    <t>W3</t>
  </si>
  <si>
    <t>SO SÁNH 
NGUỒN LỰC</t>
  </si>
  <si>
    <t>Type</t>
  </si>
  <si>
    <t>GHI CHÚ</t>
  </si>
  <si>
    <t>Task</t>
  </si>
  <si>
    <t>W4</t>
  </si>
  <si>
    <t>Assignee</t>
  </si>
  <si>
    <t>Estimate(h)</t>
  </si>
  <si>
    <t>Development &amp; Intergration Testing</t>
  </si>
  <si>
    <t>In progress</t>
  </si>
  <si>
    <t>Project scope</t>
  </si>
  <si>
    <t>Authentication</t>
  </si>
  <si>
    <t>Original estimated effort</t>
  </si>
  <si>
    <t>Re-estimated effort</t>
  </si>
  <si>
    <t>Tên nhân sự</t>
  </si>
  <si>
    <t>Vai trò</t>
  </si>
  <si>
    <t>MOR</t>
  </si>
  <si>
    <t>Open</t>
  </si>
  <si>
    <t>Xếp hạng 
nhân sự</t>
  </si>
  <si>
    <t>Migration</t>
  </si>
  <si>
    <t>User Profile Management</t>
  </si>
  <si>
    <t>Effort theo vai trò (MM)</t>
  </si>
  <si>
    <t>Chênh lệch (MM)</t>
  </si>
  <si>
    <t>Bùi Hồng Sơn</t>
  </si>
  <si>
    <t>Product Catalog &amp; Search</t>
  </si>
  <si>
    <t>BE</t>
  </si>
  <si>
    <t>Shopping Cart &amp; Checkout</t>
  </si>
  <si>
    <t>Order Management &amp; Tracking</t>
  </si>
  <si>
    <t>Nguyễn Thành Đô</t>
  </si>
  <si>
    <t>Văn Ngọc Long</t>
  </si>
  <si>
    <t>Developer(BE)</t>
  </si>
  <si>
    <t>Senior</t>
  </si>
  <si>
    <t>Nguyễn Văn Vinh</t>
  </si>
  <si>
    <t>FE</t>
  </si>
  <si>
    <t>Mai Viết Hoàng</t>
  </si>
  <si>
    <t>Đỗ Trung Kiên</t>
  </si>
  <si>
    <t>Developer(FE)</t>
  </si>
  <si>
    <t>SUM</t>
  </si>
  <si>
    <t>SUM (by month)</t>
  </si>
  <si>
    <t>Category
Milestone</t>
  </si>
  <si>
    <t>TaskID</t>
  </si>
  <si>
    <t>Difference</t>
  </si>
  <si>
    <t>Priority</t>
  </si>
  <si>
    <t>Grand total</t>
  </si>
  <si>
    <t>PLAN</t>
  </si>
  <si>
    <t>Actual</t>
  </si>
  <si>
    <t>Remaining (h)</t>
  </si>
  <si>
    <t>Estimate (h)</t>
  </si>
  <si>
    <t>Start Date</t>
  </si>
  <si>
    <t>End Date</t>
  </si>
  <si>
    <t>Re-estimate (h)</t>
  </si>
  <si>
    <t>Actual Effort (h)</t>
  </si>
  <si>
    <t>ID</t>
  </si>
  <si>
    <t>Date Detected</t>
  </si>
  <si>
    <t>Description</t>
  </si>
  <si>
    <t>Related Assignee/Task</t>
  </si>
  <si>
    <t>Next Action</t>
  </si>
  <si>
    <t>Notes</t>
  </si>
  <si>
    <t>R-000</t>
  </si>
  <si>
    <t>SơnBH xin nghỉ 2 ngày → đẩy lịch 3 task</t>
  </si>
  <si>
    <t>Highest</t>
  </si>
  <si>
    <t>SơnBH / pcs-1, pcs-2, pcs-3</t>
  </si>
  <si>
    <t>Reschedule or reassign</t>
  </si>
  <si>
    <t>Sample row for template reference, can be deleted</t>
  </si>
  <si>
    <t>AU-1</t>
  </si>
  <si>
    <t>API Login &amp; Token Generation (JWT)</t>
  </si>
  <si>
    <t>SơnBH</t>
  </si>
  <si>
    <t>Done</t>
  </si>
  <si>
    <t>AU-2</t>
  </si>
  <si>
    <t>API Logout &amp; Refresh Token Mechanism</t>
  </si>
  <si>
    <t>AU-3</t>
  </si>
  <si>
    <t>Màn hình Login UI &amp; Form Validation</t>
  </si>
  <si>
    <t>VinhNV</t>
  </si>
  <si>
    <t>I-000</t>
  </si>
  <si>
    <t>Task pcs-3 is waiting on customer Q&amp;A, no progress yet</t>
  </si>
  <si>
    <t>SơnBH / pcs-3</t>
  </si>
  <si>
    <t>Escalate to contact customer urgently</t>
  </si>
  <si>
    <t>AU-4</t>
  </si>
  <si>
    <t>Màn hình Logout &amp; Token Storage (Cookie/LocalStorage)</t>
  </si>
  <si>
    <t>AU-5</t>
  </si>
  <si>
    <t>API Register User &amp; Hash Password</t>
  </si>
  <si>
    <t>ĐôNT</t>
  </si>
  <si>
    <t>AU-6</t>
  </si>
  <si>
    <t>API Verification Email &amp; Activation Link</t>
  </si>
  <si>
    <t>AU-7</t>
  </si>
  <si>
    <t>Màn hình Register UI &amp; Input Check</t>
  </si>
  <si>
    <t>HoàngMV</t>
  </si>
  <si>
    <t>AU-8</t>
  </si>
  <si>
    <t>Màn hình Account Activation &amp; Verify Success UI</t>
  </si>
  <si>
    <t>AU-9</t>
  </si>
  <si>
    <t>API Send OTP &amp; Verify OTP</t>
  </si>
  <si>
    <t>LongVN</t>
  </si>
  <si>
    <t>Project type</t>
  </si>
  <si>
    <t>AU-10</t>
  </si>
  <si>
    <t>Development Type</t>
  </si>
  <si>
    <t>Contract type</t>
  </si>
  <si>
    <t>API Forgot &amp; Reset Password</t>
  </si>
  <si>
    <t>Customer type</t>
  </si>
  <si>
    <t>Provider</t>
  </si>
  <si>
    <t>Level</t>
  </si>
  <si>
    <t>Tech-stack</t>
  </si>
  <si>
    <t>MTEK</t>
  </si>
  <si>
    <t>HTML</t>
  </si>
  <si>
    <t>TùngDV</t>
  </si>
  <si>
    <t>MSOL</t>
  </si>
  <si>
    <t>Middle</t>
  </si>
  <si>
    <t>CSS</t>
  </si>
  <si>
    <t>High</t>
  </si>
  <si>
    <t>MSG</t>
  </si>
  <si>
    <t>Junior</t>
  </si>
  <si>
    <t>JavaScript</t>
  </si>
  <si>
    <t>AU-11</t>
  </si>
  <si>
    <t>Medium</t>
  </si>
  <si>
    <t>Màn hình Nhập Email/Số điện thoại quên mật khẩu UI</t>
  </si>
  <si>
    <t>MDN</t>
  </si>
  <si>
    <t>Expert</t>
  </si>
  <si>
    <t>React</t>
  </si>
  <si>
    <t>KiênĐT</t>
  </si>
  <si>
    <t>Pending</t>
  </si>
  <si>
    <t>Low</t>
  </si>
  <si>
    <t>MA</t>
  </si>
  <si>
    <t>Leader</t>
  </si>
  <si>
    <t>Vue.js</t>
  </si>
  <si>
    <t>Cancel</t>
  </si>
  <si>
    <t>N/A</t>
  </si>
  <si>
    <t>C#</t>
  </si>
  <si>
    <t>C++</t>
  </si>
  <si>
    <t>Python</t>
  </si>
  <si>
    <t>ROR</t>
  </si>
  <si>
    <t>Java</t>
  </si>
  <si>
    <t>Node.js</t>
  </si>
  <si>
    <t>Django</t>
  </si>
  <si>
    <t>DevOps</t>
  </si>
  <si>
    <t>Fullstack</t>
  </si>
  <si>
    <t>AU-12</t>
  </si>
  <si>
    <t>Màn hình Nhập mã OTP &amp; Đặt lại mật khẩu UI</t>
  </si>
  <si>
    <t xml:space="preserve">User Profile Management
</t>
  </si>
  <si>
    <t>UPM-1</t>
  </si>
  <si>
    <t>API Lấy thông tin User Profile Detail</t>
  </si>
  <si>
    <t>UPM-2</t>
  </si>
  <si>
    <t>API Cập nhật thông tin cá nhân</t>
  </si>
  <si>
    <t>UPM-3</t>
  </si>
  <si>
    <t>API Quản lý danh sách Sổ địa chỉ (CRUD Address)</t>
  </si>
  <si>
    <t>UPM-4</t>
  </si>
  <si>
    <t>Màn hình User Profile Overview UI</t>
  </si>
  <si>
    <t>UPM-5</t>
  </si>
  <si>
    <t>Màn hình Chỉnh sửa thông tin cá nhân UI</t>
  </si>
  <si>
    <t>UPM-6</t>
  </si>
  <si>
    <t>Màn hình Quản lý Sổ địa chỉ nhận hàng UI</t>
  </si>
  <si>
    <t>UPM-7</t>
  </si>
  <si>
    <t>API Upload Avatar file &amp; Tích hợp Cloud Storage S3</t>
  </si>
  <si>
    <t>UPM-8</t>
  </si>
  <si>
    <t>API Image Resize &amp; Validation Format/Size</t>
  </si>
  <si>
    <t>UPM-9</t>
  </si>
  <si>
    <t>API Lịch sử hoạt động User Log</t>
  </si>
  <si>
    <t>UPM-10</t>
  </si>
  <si>
    <t>Màn hình Upload &amp; Crop Avatar UI</t>
  </si>
  <si>
    <t>UPM-11</t>
  </si>
  <si>
    <t>Màn hình Xem trước Avatar &amp; Feedback Upload</t>
  </si>
  <si>
    <t>UPM-12</t>
  </si>
  <si>
    <t>Màn hình Xem nhật ký hoạt động UI</t>
  </si>
  <si>
    <t>UPM-13</t>
  </si>
  <si>
    <t>API Đổi mật khẩu (Validate Old Pass)</t>
  </si>
  <si>
    <t>UPM-14</t>
  </si>
  <si>
    <t>API Bật/Tắt xác thực 2 lớp (2FA Setup)</t>
  </si>
  <si>
    <t>UPM-15</t>
  </si>
  <si>
    <t>API Verify 2FA Code (Authenticator)</t>
  </si>
  <si>
    <t>UPM-16</t>
  </si>
  <si>
    <t>Màn hình Đổi mật khẩu UI</t>
  </si>
  <si>
    <t>UPM-17</t>
  </si>
  <si>
    <t>Màn hình Cài đặt Bảo mật 2FA UI</t>
  </si>
  <si>
    <t>UPM-18</t>
  </si>
  <si>
    <t>Màn hình Quét QR Code &amp; Nhập OTP 2FA UI</t>
  </si>
  <si>
    <t>PCS-1</t>
  </si>
  <si>
    <t>API Lấy danh mục sản phẩm (Categories)</t>
  </si>
  <si>
    <t>PCS-2</t>
  </si>
  <si>
    <t>API Danh sách sản phẩm &amp; Phân trang</t>
  </si>
  <si>
    <t>PCS-3</t>
  </si>
  <si>
    <t>API Chi tiết sản phẩm (Product Detail &amp; Variants)</t>
  </si>
  <si>
    <t>PCS-4</t>
  </si>
  <si>
    <t>Màn hình Menu Danh mục sản phẩm UI</t>
  </si>
  <si>
    <t>PCS-5</t>
  </si>
  <si>
    <t>Màn hình Danh sách sản phẩm &amp; Phân trang UI</t>
  </si>
  <si>
    <t>PCS-6</t>
  </si>
  <si>
    <t>Màn hình Chi tiết sản phẩm (Product Detail UI)</t>
  </si>
  <si>
    <t>PCS-7</t>
  </si>
  <si>
    <t>API Tìm kiếm sản phẩm theo từ khóa</t>
  </si>
  <si>
    <t>PCS-8</t>
  </si>
  <si>
    <t>API Bộ lọc nâng cao (Theo giá, thương hiệu, rating)</t>
  </si>
  <si>
    <t>PCS-9</t>
  </si>
  <si>
    <t>API Tích hợp Auto-suggest Search Keywords</t>
  </si>
  <si>
    <t>PCS-10</t>
  </si>
  <si>
    <t>Màn hình Thanh tìm kiếm &amp; Gợi ý từ khóa UI</t>
  </si>
  <si>
    <t>PCS-11</t>
  </si>
  <si>
    <t>Màn hình Bộ lọc sản phẩm Side-bar UI</t>
  </si>
  <si>
    <t>PCS-12</t>
  </si>
  <si>
    <t>Màn hình Kết quả tìm kiếm &amp; Sắp xếp UI</t>
  </si>
  <si>
    <t xml:space="preserve">Shopping Cart &amp; Checkout
</t>
  </si>
  <si>
    <t>scc-10</t>
  </si>
  <si>
    <t>API Thêm/Sửa/Xóa sản phẩm trong Giỏ hàng</t>
  </si>
  <si>
    <t>SCC-2</t>
  </si>
  <si>
    <t>API Áp dụng Mã giảm giá (Coupon/Voucher)</t>
  </si>
  <si>
    <t>scc-11</t>
  </si>
  <si>
    <t>API Tính phí vận chuyển &amp; Tóm tắt đơn hàng</t>
  </si>
  <si>
    <t>SCC-3</t>
  </si>
  <si>
    <t>API Tích hợp Cổng thanh toán (VNPay / Momo / Stripe)</t>
  </si>
  <si>
    <t>scc-12</t>
  </si>
  <si>
    <t>API Xử lý Payment Webhook &amp; Payment Callback</t>
  </si>
  <si>
    <t>SCC-4</t>
  </si>
  <si>
    <t>Màn hình Giỏ hàng &amp; Cập nhật số lượng UI</t>
  </si>
  <si>
    <t>scc-13</t>
  </si>
  <si>
    <t>Màn hình Nhập &amp; Áp dụng Mã giảm giá UI</t>
  </si>
  <si>
    <t>SCC-5</t>
  </si>
  <si>
    <t>Màn hình Chọn Địa chỉ nhận hàng &amp; Phương thức Vận chuyển UI</t>
  </si>
  <si>
    <t>scc-14</t>
  </si>
  <si>
    <t>Màn hình Chọn Cổng thanh toán &amp; Checkout UI</t>
  </si>
  <si>
    <t>SCC-6</t>
  </si>
  <si>
    <t>Màn hình Kết quả thanh toán (Thành công / Thất bại) UI</t>
  </si>
  <si>
    <t xml:space="preserve">Order Management &amp; Tracking
</t>
  </si>
  <si>
    <t>OMT-1</t>
  </si>
  <si>
    <t>API Tạo đơn hàng mới &amp; Lưu Database</t>
  </si>
  <si>
    <t>OMT-2</t>
  </si>
  <si>
    <t>API Danh sách đơn hàng &amp; Lịch sử mua hàng</t>
  </si>
  <si>
    <t>OMT-3</t>
  </si>
  <si>
    <t>Màn hình Xác nhận Đặt hàng thành công UI</t>
  </si>
  <si>
    <t>OMT-4</t>
  </si>
  <si>
    <t>Màn hình Danh sách Đơn hàng đã mua UI</t>
  </si>
  <si>
    <t>OMT-5</t>
  </si>
  <si>
    <t>API Chi tiết đơn hàng &amp; Tracking trạng thái giao hàng</t>
  </si>
  <si>
    <t>OMT-6</t>
  </si>
  <si>
    <t>API Hủy đơn hàng &amp; Yêu cầu hoàn tiền</t>
  </si>
  <si>
    <t>OMT-7</t>
  </si>
  <si>
    <t>Màn hình Chi tiết đơn hàng &amp; Status Timeline UI</t>
  </si>
  <si>
    <t>OMT-8</t>
  </si>
  <si>
    <t>Màn hình Yêu cầu Hủy đơn hàng 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</si>
</sst>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&quot;/&quot;mm&quot;/&quot;dd&quot;（&quot;ddd&quot;）&quot;"/>
    <numFmt numFmtId="165" formatCode="dd-mm-yyyy"/>
    <numFmt numFmtId="166" formatCode="#,##0.0"/>
    <numFmt numFmtId="167" formatCode="0.0"/>
    <numFmt numFmtId="168" formatCode="dd&quot;-&quot;m&quot;-&quot;yyyy"/>
  </numFmts>
  <fonts count="17">
    <font>
      <sz val="10.0"/>
      <color rgb="FF000000"/>
      <name val="Arial"/>
      <scheme val="minor"/>
    </font>
    <font>
      <b/>
      <sz val="25.0"/>
      <color rgb="FFFFFFFF"/>
      <name val="Manrope"/>
    </font>
    <font>
      <b/>
      <sz val="11.0"/>
      <color rgb="FFFFFFFF"/>
      <name val="Manrope"/>
    </font>
    <font>
      <b/>
      <sz val="20.0"/>
      <color rgb="FFFFFFFF"/>
      <name val="Manrope"/>
    </font>
    <font>
      <color theme="1"/>
      <name val="Arial"/>
    </font>
    <font/>
    <font>
      <color theme="1"/>
      <name val="Arial"/>
      <scheme val="minor"/>
    </font>
    <font>
      <b/>
      <color rgb="FFFFFFFF"/>
      <name val="Manrope"/>
    </font>
    <font>
      <b/>
      <color theme="1"/>
      <name val="Manrope"/>
    </font>
    <font>
      <color theme="1"/>
      <name val="Manrope"/>
    </font>
    <font>
      <u/>
      <color rgb="FF0000FF"/>
      <name val="Manrope"/>
    </font>
    <font>
      <b/>
      <sz val="10.0"/>
      <color rgb="FFFFFFFF"/>
      <name val="Arial"/>
      <scheme val="minor"/>
    </font>
    <font>
      <sz val="10.0"/>
      <color theme="1"/>
      <name val="Arial"/>
      <scheme val="minor"/>
    </font>
    <font>
      <sz val="9.0"/>
      <color theme="1"/>
      <name val="Google Sans Mono"/>
    </font>
    <font>
      <b/>
      <color rgb="FFFF0000"/>
      <name val="Manrope"/>
    </font>
    <font>
      <b/>
      <color theme="1"/>
      <name val="Arial"/>
      <scheme val="minor"/>
    </font>
    <font>
      <sz val="10.0"/>
      <color theme="1"/>
      <name val="Manrope"/>
    </font>
  </fonts>
  <fills count="17">
    <fill>
      <patternFill patternType="none"/>
    </fill>
    <fill>
      <patternFill patternType="lightGray"/>
    </fill>
    <fill>
      <patternFill patternType="solid">
        <fgColor rgb="FF0771BB"/>
        <bgColor rgb="FF0771BB"/>
      </patternFill>
    </fill>
    <fill>
      <patternFill patternType="solid">
        <fgColor rgb="FFA2C4C9"/>
        <bgColor rgb="FFA2C4C9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334266"/>
        <bgColor rgb="FF334266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A4C2F4"/>
        <bgColor rgb="FFA4C2F4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</fills>
  <borders count="71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B7B7B7"/>
      </top>
      <bottom style="thin">
        <color rgb="FFB7B7B7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medium">
        <color rgb="FF666666"/>
      </right>
      <top style="thin">
        <color rgb="FF666666"/>
      </top>
    </border>
    <border>
      <left style="medium">
        <color rgb="FF666666"/>
      </left>
      <top style="medium">
        <color rgb="FF666666"/>
      </top>
      <bottom style="medium">
        <color rgb="FF666666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top style="medium">
        <color rgb="FF666666"/>
      </top>
      <bottom style="medium">
        <color rgb="FF666666"/>
      </bottom>
    </border>
    <border>
      <left style="thick">
        <color rgb="FF334266"/>
      </left>
      <right style="thin">
        <color rgb="FF8C8C8C"/>
      </right>
      <top style="thick">
        <color rgb="FF334266"/>
      </top>
    </border>
    <border>
      <right style="medium">
        <color rgb="FF666666"/>
      </right>
      <top style="medium">
        <color rgb="FF666666"/>
      </top>
      <bottom style="medium">
        <color rgb="FF666666"/>
      </bottom>
    </border>
    <border>
      <left style="thin">
        <color rgb="FF8C8C8C"/>
      </left>
      <right style="thin">
        <color rgb="FF8C8C8C"/>
      </right>
      <top style="thick">
        <color rgb="FF334266"/>
      </top>
    </border>
    <border>
      <right style="thin">
        <color rgb="FF666666"/>
      </right>
      <top style="thin">
        <color rgb="FF666666"/>
      </top>
    </border>
    <border>
      <left style="thin">
        <color rgb="FF8C8C8C"/>
      </left>
      <right style="thick">
        <color rgb="FF334266"/>
      </right>
      <top style="thick">
        <color rgb="FF334266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medium">
        <color rgb="FF666666"/>
      </top>
    </border>
    <border>
      <left style="thin">
        <color rgb="FF8C8C8C"/>
      </left>
      <right style="thick">
        <color rgb="FF334266"/>
      </right>
      <bottom style="thin">
        <color rgb="FF8C8C8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666666"/>
      </left>
      <top style="medium">
        <color rgb="FF666666"/>
      </top>
    </border>
    <border>
      <left style="medium">
        <color rgb="FF666666"/>
      </left>
      <right style="thin">
        <color rgb="FF666666"/>
      </right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medium">
        <color rgb="FF666666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666666"/>
      </right>
    </border>
    <border>
      <right style="medium">
        <color rgb="FF666666"/>
      </right>
      <top style="medium">
        <color rgb="FF666666"/>
      </top>
    </border>
    <border>
      <right style="thin">
        <color rgb="FF666666"/>
      </right>
    </border>
    <border>
      <left style="thin">
        <color rgb="FF666666"/>
      </left>
    </border>
    <border>
      <top style="medium">
        <color rgb="FF666666"/>
      </top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bottom style="thin">
        <color rgb="FF666666"/>
      </bottom>
    </border>
    <border>
      <left style="medium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medium">
        <color rgb="FF666666"/>
      </right>
      <bottom style="thin">
        <color rgb="FF666666"/>
      </bottom>
    </border>
    <border>
      <right style="medium">
        <color rgb="FF666666"/>
      </righ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ck">
        <color rgb="FF334266"/>
      </left>
      <right style="thin">
        <color rgb="FF8C8C8C"/>
      </right>
    </border>
    <border>
      <left style="thin">
        <color rgb="FF8C8C8C"/>
      </left>
      <right style="thin">
        <color rgb="FF8C8C8C"/>
      </right>
      <bottom style="thin">
        <color rgb="FF8C8C8C"/>
      </bottom>
    </border>
    <border>
      <left style="thin">
        <color rgb="FF000000"/>
      </left>
      <right style="thin">
        <color rgb="FF000000"/>
      </right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  <border>
      <left style="thin">
        <color rgb="FF8C8C8C"/>
      </left>
      <right style="thick">
        <color rgb="FF334266"/>
      </right>
      <top style="thin">
        <color rgb="FF8C8C8C"/>
      </top>
      <bottom style="thin">
        <color rgb="FF8C8C8C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666666"/>
      </left>
      <bottom style="medium">
        <color rgb="FF666666"/>
      </bottom>
    </border>
    <border>
      <right style="medium">
        <color rgb="FF666666"/>
      </right>
      <bottom style="medium">
        <color rgb="FF666666"/>
      </bottom>
    </border>
    <border>
      <left style="medium">
        <color rgb="FF666666"/>
      </left>
      <right style="medium">
        <color rgb="FF666666"/>
      </right>
      <bottom style="medium">
        <color rgb="FF666666"/>
      </bottom>
    </border>
    <border>
      <left style="medium">
        <color rgb="FF666666"/>
      </left>
      <right style="medium">
        <color rgb="FF666666"/>
      </right>
      <top style="medium">
        <color rgb="FF666666"/>
      </top>
    </border>
    <border>
      <top style="medium">
        <color rgb="FF666666"/>
      </top>
      <bottom style="thin">
        <color rgb="FF666666"/>
      </bottom>
    </border>
    <border>
      <right style="thin">
        <color rgb="FF666666"/>
      </right>
      <top style="medium">
        <color rgb="FF666666"/>
      </top>
      <bottom style="thin">
        <color rgb="FF666666"/>
      </bottom>
    </border>
    <border>
      <bottom style="medium">
        <color rgb="FF666666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ck">
        <color rgb="FF334266"/>
      </bottom>
    </border>
    <border>
      <top style="thin">
        <color rgb="FF666666"/>
      </top>
      <bottom style="medium">
        <color rgb="FF666666"/>
      </bottom>
    </border>
    <border>
      <right style="thin">
        <color rgb="FF666666"/>
      </right>
      <top style="thin">
        <color rgb="FF666666"/>
      </top>
      <bottom style="medium">
        <color rgb="FF666666"/>
      </bottom>
    </border>
    <border>
      <left style="thin">
        <color rgb="FF8C8C8C"/>
      </left>
      <right style="thick">
        <color rgb="FF334266"/>
      </right>
      <top style="thin">
        <color rgb="FF8C8C8C"/>
      </top>
      <bottom style="thick">
        <color rgb="FF334266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2" fontId="2" numFmtId="0" xfId="0" applyAlignment="1" applyBorder="1" applyFont="1">
      <alignment shrinkToFit="0" wrapText="1"/>
    </xf>
    <xf borderId="2" fillId="2" fontId="3" numFmtId="0" xfId="0" applyAlignment="1" applyBorder="1" applyFont="1">
      <alignment horizontal="center" readingOrder="0"/>
    </xf>
    <xf borderId="0" fillId="0" fontId="4" numFmtId="0" xfId="0" applyFont="1"/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2" fontId="4" numFmtId="0" xfId="0" applyBorder="1" applyFont="1"/>
    <xf borderId="0" fillId="0" fontId="6" numFmtId="0" xfId="0" applyAlignment="1" applyFont="1">
      <alignment readingOrder="0"/>
    </xf>
    <xf borderId="6" fillId="2" fontId="7" numFmtId="0" xfId="0" applyAlignment="1" applyBorder="1" applyFont="1">
      <alignment horizontal="center" shrinkToFit="0" wrapText="1"/>
    </xf>
    <xf borderId="7" fillId="2" fontId="2" numFmtId="0" xfId="0" applyAlignment="1" applyBorder="1" applyFont="1">
      <alignment horizontal="center"/>
    </xf>
    <xf borderId="8" fillId="2" fontId="7" numFmtId="0" xfId="0" applyAlignment="1" applyBorder="1" applyFont="1">
      <alignment horizontal="center" shrinkToFit="0" wrapText="1"/>
    </xf>
    <xf borderId="7" fillId="0" fontId="5" numFmtId="0" xfId="0" applyBorder="1" applyFont="1"/>
    <xf borderId="6" fillId="2" fontId="7" numFmtId="0" xfId="0" applyAlignment="1" applyBorder="1" applyFont="1">
      <alignment horizontal="center" readingOrder="0" shrinkToFit="0" wrapText="1"/>
    </xf>
    <xf borderId="9" fillId="3" fontId="8" numFmtId="0" xfId="0" applyAlignment="1" applyBorder="1" applyFill="1" applyFont="1">
      <alignment horizontal="center" shrinkToFit="0" vertical="bottom" wrapText="1"/>
    </xf>
    <xf borderId="10" fillId="2" fontId="7" numFmtId="0" xfId="0" applyAlignment="1" applyBorder="1" applyFont="1">
      <alignment horizontal="center" shrinkToFit="0" wrapText="1"/>
    </xf>
    <xf borderId="9" fillId="3" fontId="8" numFmtId="0" xfId="0" applyAlignment="1" applyBorder="1" applyFont="1">
      <alignment horizontal="center" shrinkToFit="0" wrapText="1"/>
    </xf>
    <xf borderId="1" fillId="4" fontId="8" numFmtId="0" xfId="0" applyAlignment="1" applyBorder="1" applyFill="1" applyFont="1">
      <alignment horizontal="center" shrinkToFit="0" vertical="bottom" wrapText="1"/>
    </xf>
    <xf borderId="10" fillId="5" fontId="9" numFmtId="0" xfId="0" applyAlignment="1" applyBorder="1" applyFill="1" applyFont="1">
      <alignment horizontal="center"/>
    </xf>
    <xf borderId="11" fillId="6" fontId="8" numFmtId="0" xfId="0" applyAlignment="1" applyBorder="1" applyFill="1" applyFont="1">
      <alignment horizontal="center"/>
    </xf>
    <xf borderId="12" fillId="0" fontId="5" numFmtId="0" xfId="0" applyBorder="1" applyFont="1"/>
    <xf borderId="1" fillId="4" fontId="8" numFmtId="0" xfId="0" applyAlignment="1" applyBorder="1" applyFont="1">
      <alignment horizontal="center" readingOrder="0" shrinkToFit="0" wrapText="1"/>
    </xf>
    <xf borderId="10" fillId="5" fontId="10" numFmtId="0" xfId="0" applyAlignment="1" applyBorder="1" applyFont="1">
      <alignment horizontal="center" readingOrder="0"/>
    </xf>
    <xf borderId="13" fillId="0" fontId="5" numFmtId="0" xfId="0" applyBorder="1" applyFont="1"/>
    <xf borderId="6" fillId="5" fontId="9" numFmtId="164" xfId="0" applyAlignment="1" applyBorder="1" applyFont="1" applyNumberFormat="1">
      <alignment horizontal="center" readingOrder="0"/>
    </xf>
    <xf borderId="9" fillId="7" fontId="8" numFmtId="0" xfId="0" applyAlignment="1" applyBorder="1" applyFill="1" applyFont="1">
      <alignment horizontal="center" shrinkToFit="0" wrapText="1"/>
    </xf>
    <xf borderId="14" fillId="8" fontId="8" numFmtId="0" xfId="0" applyAlignment="1" applyBorder="1" applyFill="1" applyFont="1">
      <alignment horizontal="center" shrinkToFit="0" wrapText="1"/>
    </xf>
    <xf borderId="15" fillId="0" fontId="5" numFmtId="0" xfId="0" applyBorder="1" applyFont="1"/>
    <xf borderId="16" fillId="0" fontId="5" numFmtId="0" xfId="0" applyBorder="1" applyFont="1"/>
    <xf borderId="6" fillId="5" fontId="9" numFmtId="4" xfId="0" applyAlignment="1" applyBorder="1" applyFont="1" applyNumberFormat="1">
      <alignment horizontal="center"/>
    </xf>
    <xf borderId="17" fillId="9" fontId="11" numFmtId="0" xfId="0" applyAlignment="1" applyBorder="1" applyFill="1" applyFont="1">
      <alignment horizontal="center" readingOrder="0" shrinkToFit="0" vertical="center" wrapText="1"/>
    </xf>
    <xf borderId="9" fillId="4" fontId="8" numFmtId="0" xfId="0" applyAlignment="1" applyBorder="1" applyFont="1">
      <alignment horizontal="center" shrinkToFit="0" wrapText="1"/>
    </xf>
    <xf borderId="18" fillId="0" fontId="5" numFmtId="0" xfId="0" applyBorder="1" applyFont="1"/>
    <xf borderId="19" fillId="9" fontId="11" numFmtId="0" xfId="0" applyAlignment="1" applyBorder="1" applyFont="1">
      <alignment horizontal="center" readingOrder="0" shrinkToFit="0" vertical="center" wrapText="1"/>
    </xf>
    <xf borderId="13" fillId="6" fontId="8" numFmtId="0" xfId="0" applyAlignment="1" applyBorder="1" applyFont="1">
      <alignment horizontal="center" shrinkToFit="0" wrapText="1"/>
    </xf>
    <xf borderId="9" fillId="4" fontId="8" numFmtId="0" xfId="0" applyAlignment="1" applyBorder="1" applyFont="1">
      <alignment horizontal="center" readingOrder="0" shrinkToFit="0" wrapText="1"/>
    </xf>
    <xf borderId="6" fillId="5" fontId="9" numFmtId="10" xfId="0" applyAlignment="1" applyBorder="1" applyFont="1" applyNumberFormat="1">
      <alignment horizontal="center"/>
    </xf>
    <xf borderId="12" fillId="6" fontId="8" numFmtId="0" xfId="0" applyAlignment="1" applyBorder="1" applyFont="1">
      <alignment horizontal="center"/>
    </xf>
    <xf borderId="20" fillId="0" fontId="5" numFmtId="0" xfId="0" applyBorder="1" applyFont="1"/>
    <xf borderId="21" fillId="9" fontId="11" numFmtId="0" xfId="0" applyAlignment="1" applyBorder="1" applyFont="1">
      <alignment horizontal="center" readingOrder="0" shrinkToFit="0" vertical="center" wrapText="1"/>
    </xf>
    <xf borderId="15" fillId="10" fontId="8" numFmtId="0" xfId="0" applyAlignment="1" applyBorder="1" applyFill="1" applyFont="1">
      <alignment readingOrder="0"/>
    </xf>
    <xf borderId="22" fillId="0" fontId="12" numFmtId="0" xfId="0" applyAlignment="1" applyBorder="1" applyFont="1">
      <alignment horizontal="center" readingOrder="0" vertical="center"/>
    </xf>
    <xf borderId="9" fillId="4" fontId="8" numFmtId="0" xfId="0" applyAlignment="1" applyBorder="1" applyFont="1">
      <alignment horizontal="center" shrinkToFit="0" vertical="bottom" wrapText="1"/>
    </xf>
    <xf borderId="22" fillId="0" fontId="12" numFmtId="0" xfId="0" applyAlignment="1" applyBorder="1" applyFont="1">
      <alignment readingOrder="0" vertical="center"/>
    </xf>
    <xf borderId="15" fillId="10" fontId="8" numFmtId="165" xfId="0" applyAlignment="1" applyBorder="1" applyFont="1" applyNumberFormat="1">
      <alignment horizontal="center"/>
    </xf>
    <xf borderId="22" fillId="0" fontId="12" numFmtId="0" xfId="0" applyAlignment="1" applyBorder="1" applyFont="1">
      <alignment readingOrder="0" shrinkToFit="0" vertical="center" wrapText="1"/>
    </xf>
    <xf borderId="15" fillId="10" fontId="4" numFmtId="0" xfId="0" applyBorder="1" applyFont="1"/>
    <xf borderId="6" fillId="5" fontId="13" numFmtId="0" xfId="0" applyAlignment="1" applyBorder="1" applyFont="1">
      <alignment horizontal="center" readingOrder="0"/>
    </xf>
    <xf borderId="22" fillId="0" fontId="12" numFmtId="0" xfId="0" applyAlignment="1" applyBorder="1" applyFont="1">
      <alignment horizontal="center" readingOrder="0" vertical="center"/>
    </xf>
    <xf borderId="6" fillId="0" fontId="4" numFmtId="0" xfId="0" applyBorder="1" applyFont="1"/>
    <xf borderId="23" fillId="6" fontId="8" numFmtId="0" xfId="0" applyAlignment="1" applyBorder="1" applyFont="1">
      <alignment horizontal="center" shrinkToFit="0" wrapText="1"/>
    </xf>
    <xf borderId="24" fillId="0" fontId="12" numFmtId="0" xfId="0" applyAlignment="1" applyBorder="1" applyFont="1">
      <alignment vertical="center"/>
    </xf>
    <xf borderId="10" fillId="0" fontId="4" numFmtId="0" xfId="0" applyBorder="1" applyFont="1"/>
    <xf borderId="5" fillId="0" fontId="9" numFmtId="0" xfId="0" applyAlignment="1" applyBorder="1" applyFont="1">
      <alignment readingOrder="0" shrinkToFit="0" wrapText="1"/>
    </xf>
    <xf borderId="5" fillId="0" fontId="9" numFmtId="165" xfId="0" applyAlignment="1" applyBorder="1" applyFont="1" applyNumberFormat="1">
      <alignment horizontal="center" readingOrder="0" shrinkToFit="0" wrapText="1"/>
    </xf>
    <xf borderId="25" fillId="5" fontId="9" numFmtId="0" xfId="0" applyAlignment="1" applyBorder="1" applyFont="1">
      <alignment horizontal="center" readingOrder="0"/>
    </xf>
    <xf borderId="26" fillId="6" fontId="8" numFmtId="0" xfId="0" applyAlignment="1" applyBorder="1" applyFont="1">
      <alignment horizontal="center" shrinkToFit="0" wrapText="1"/>
    </xf>
    <xf borderId="27" fillId="8" fontId="8" numFmtId="0" xfId="0" applyAlignment="1" applyBorder="1" applyFont="1">
      <alignment horizontal="center" shrinkToFit="0" wrapText="1"/>
    </xf>
    <xf borderId="5" fillId="0" fontId="9" numFmtId="0" xfId="0" applyAlignment="1" applyBorder="1" applyFont="1">
      <alignment horizontal="center" shrinkToFit="0" wrapText="1"/>
    </xf>
    <xf borderId="28" fillId="8" fontId="8" numFmtId="0" xfId="0" applyAlignment="1" applyBorder="1" applyFont="1">
      <alignment horizontal="center" shrinkToFit="0" wrapText="1"/>
    </xf>
    <xf borderId="5" fillId="0" fontId="9" numFmtId="0" xfId="0" applyAlignment="1" applyBorder="1" applyFont="1">
      <alignment horizontal="center" readingOrder="0" shrinkToFit="0" wrapText="1"/>
    </xf>
    <xf borderId="29" fillId="8" fontId="8" numFmtId="0" xfId="0" applyAlignment="1" applyBorder="1" applyFont="1">
      <alignment horizontal="center" shrinkToFit="0" wrapText="1"/>
    </xf>
    <xf borderId="5" fillId="11" fontId="4" numFmtId="16" xfId="0" applyBorder="1" applyFill="1" applyFont="1" applyNumberFormat="1"/>
    <xf borderId="5" fillId="6" fontId="4" numFmtId="0" xfId="0" applyBorder="1" applyFont="1"/>
    <xf borderId="30" fillId="8" fontId="8" numFmtId="0" xfId="0" applyAlignment="1" applyBorder="1" applyFont="1">
      <alignment horizontal="center" shrinkToFit="0" wrapText="1"/>
    </xf>
    <xf borderId="31" fillId="0" fontId="5" numFmtId="0" xfId="0" applyBorder="1" applyFont="1"/>
    <xf borderId="32" fillId="0" fontId="5" numFmtId="0" xfId="0" applyBorder="1" applyFont="1"/>
    <xf borderId="0" fillId="0" fontId="4" numFmtId="0" xfId="0" applyAlignment="1" applyFont="1">
      <alignment vertical="bottom"/>
    </xf>
    <xf borderId="33" fillId="8" fontId="8" numFmtId="0" xfId="0" applyAlignment="1" applyBorder="1" applyFont="1">
      <alignment horizontal="center" shrinkToFit="0" wrapText="1"/>
    </xf>
    <xf borderId="34" fillId="6" fontId="8" numFmtId="0" xfId="0" applyAlignment="1" applyBorder="1" applyFont="1">
      <alignment horizontal="center" shrinkToFit="0" wrapText="1"/>
    </xf>
    <xf borderId="35" fillId="0" fontId="5" numFmtId="0" xfId="0" applyBorder="1" applyFont="1"/>
    <xf borderId="5" fillId="0" fontId="9" numFmtId="0" xfId="0" applyAlignment="1" applyBorder="1" applyFont="1">
      <alignment horizontal="center" shrinkToFit="0" vertical="bottom" wrapText="1"/>
    </xf>
    <xf borderId="5" fillId="0" fontId="9" numFmtId="0" xfId="0" applyAlignment="1" applyBorder="1" applyFont="1">
      <alignment shrinkToFit="0" vertical="bottom" wrapText="1"/>
    </xf>
    <xf borderId="0" fillId="0" fontId="4" numFmtId="10" xfId="0" applyFont="1" applyNumberFormat="1"/>
    <xf borderId="5" fillId="0" fontId="4" numFmtId="0" xfId="0" applyAlignment="1" applyBorder="1" applyFont="1">
      <alignment horizontal="center" vertical="bottom"/>
    </xf>
    <xf borderId="5" fillId="12" fontId="4" numFmtId="0" xfId="0" applyAlignment="1" applyBorder="1" applyFill="1" applyFont="1">
      <alignment vertical="bottom"/>
    </xf>
    <xf borderId="28" fillId="0" fontId="5" numFmtId="0" xfId="0" applyBorder="1" applyFont="1"/>
    <xf borderId="36" fillId="0" fontId="5" numFmtId="0" xfId="0" applyBorder="1" applyFont="1"/>
    <xf borderId="27" fillId="0" fontId="5" numFmtId="0" xfId="0" applyBorder="1" applyFont="1"/>
    <xf borderId="29" fillId="0" fontId="5" numFmtId="0" xfId="0" applyBorder="1" applyFont="1"/>
    <xf borderId="37" fillId="8" fontId="8" numFmtId="0" xfId="0" applyAlignment="1" applyBorder="1" applyFont="1">
      <alignment horizontal="center" readingOrder="0" shrinkToFit="0" wrapText="1"/>
    </xf>
    <xf borderId="37" fillId="0" fontId="5" numFmtId="0" xfId="0" applyBorder="1" applyFont="1"/>
    <xf borderId="34" fillId="0" fontId="5" numFmtId="0" xfId="0" applyBorder="1" applyFont="1"/>
    <xf borderId="33" fillId="0" fontId="5" numFmtId="0" xfId="0" applyBorder="1" applyFont="1"/>
    <xf borderId="38" fillId="0" fontId="5" numFmtId="0" xfId="0" applyBorder="1" applyFont="1"/>
    <xf borderId="39" fillId="0" fontId="5" numFmtId="0" xfId="0" applyBorder="1" applyFont="1"/>
    <xf borderId="40" fillId="0" fontId="5" numFmtId="0" xfId="0" applyBorder="1" applyFont="1"/>
    <xf borderId="41" fillId="0" fontId="5" numFmtId="0" xfId="0" applyBorder="1" applyFont="1"/>
    <xf borderId="22" fillId="8" fontId="8" numFmtId="0" xfId="0" applyAlignment="1" applyBorder="1" applyFont="1">
      <alignment horizontal="center" shrinkToFit="0" vertical="bottom" wrapText="1"/>
    </xf>
    <xf borderId="22" fillId="8" fontId="8" numFmtId="0" xfId="0" applyAlignment="1" applyBorder="1" applyFont="1">
      <alignment horizontal="center" readingOrder="0" shrinkToFit="0" vertical="bottom" wrapText="1"/>
    </xf>
    <xf borderId="42" fillId="0" fontId="5" numFmtId="0" xfId="0" applyBorder="1" applyFont="1"/>
    <xf borderId="43" fillId="0" fontId="5" numFmtId="0" xfId="0" applyBorder="1" applyFont="1"/>
    <xf borderId="44" fillId="0" fontId="5" numFmtId="0" xfId="0" applyBorder="1" applyFont="1"/>
    <xf borderId="45" fillId="13" fontId="9" numFmtId="0" xfId="0" applyAlignment="1" applyBorder="1" applyFill="1" applyFont="1">
      <alignment horizontal="center" readingOrder="0" shrinkToFit="0" vertical="center" wrapText="1"/>
    </xf>
    <xf borderId="45" fillId="13" fontId="9" numFmtId="0" xfId="0" applyAlignment="1" applyBorder="1" applyFont="1">
      <alignment horizontal="left" readingOrder="0" shrinkToFit="0" vertical="center" wrapText="1"/>
    </xf>
    <xf borderId="45" fillId="13" fontId="9" numFmtId="2" xfId="0" applyAlignment="1" applyBorder="1" applyFont="1" applyNumberFormat="1">
      <alignment horizontal="center" readingOrder="0" shrinkToFit="0" vertical="center" wrapText="1"/>
    </xf>
    <xf borderId="46" fillId="13" fontId="9" numFmtId="0" xfId="0" applyAlignment="1" applyBorder="1" applyFont="1">
      <alignment readingOrder="0" shrinkToFit="0" wrapText="1"/>
    </xf>
    <xf borderId="47" fillId="13" fontId="9" numFmtId="0" xfId="0" applyAlignment="1" applyBorder="1" applyFont="1">
      <alignment shrinkToFit="0" vertical="bottom" wrapText="1"/>
    </xf>
    <xf borderId="48" fillId="13" fontId="9" numFmtId="2" xfId="0" applyAlignment="1" applyBorder="1" applyFont="1" applyNumberFormat="1">
      <alignment horizontal="center" shrinkToFit="0" wrapText="1"/>
    </xf>
    <xf borderId="22" fillId="13" fontId="9" numFmtId="4" xfId="0" applyAlignment="1" applyBorder="1" applyFont="1" applyNumberFormat="1">
      <alignment horizontal="center" readingOrder="0" shrinkToFit="0" wrapText="1"/>
    </xf>
    <xf borderId="46" fillId="13" fontId="9" numFmtId="4" xfId="0" applyAlignment="1" applyBorder="1" applyFont="1" applyNumberFormat="1">
      <alignment horizontal="center" readingOrder="0" shrinkToFit="0" wrapText="1"/>
    </xf>
    <xf borderId="49" fillId="13" fontId="9" numFmtId="4" xfId="0" applyAlignment="1" applyBorder="1" applyFont="1" applyNumberFormat="1">
      <alignment horizontal="center" readingOrder="0" shrinkToFit="0" wrapText="1"/>
    </xf>
    <xf borderId="45" fillId="13" fontId="9" numFmtId="2" xfId="0" applyAlignment="1" applyBorder="1" applyFont="1" applyNumberFormat="1">
      <alignment horizontal="center" shrinkToFit="0" vertical="center" wrapText="1"/>
    </xf>
    <xf borderId="48" fillId="13" fontId="4" numFmtId="0" xfId="0" applyBorder="1" applyFont="1"/>
    <xf borderId="46" fillId="0" fontId="5" numFmtId="0" xfId="0" applyBorder="1" applyFont="1"/>
    <xf borderId="50" fillId="0" fontId="12" numFmtId="0" xfId="0" applyAlignment="1" applyBorder="1" applyFont="1">
      <alignment horizontal="center" readingOrder="0" vertical="center"/>
    </xf>
    <xf borderId="51" fillId="0" fontId="12" numFmtId="0" xfId="0" applyAlignment="1" applyBorder="1" applyFont="1">
      <alignment readingOrder="0" vertical="center"/>
    </xf>
    <xf borderId="51" fillId="0" fontId="12" numFmtId="0" xfId="0" applyAlignment="1" applyBorder="1" applyFont="1">
      <alignment readingOrder="0" shrinkToFit="0" vertical="center" wrapText="1"/>
    </xf>
    <xf borderId="51" fillId="0" fontId="12" numFmtId="0" xfId="0" applyAlignment="1" applyBorder="1" applyFont="1">
      <alignment horizontal="center" readingOrder="0" vertical="center"/>
    </xf>
    <xf borderId="51" fillId="0" fontId="12" numFmtId="0" xfId="0" applyAlignment="1" applyBorder="1" applyFont="1">
      <alignment horizontal="center" readingOrder="0" vertical="center"/>
    </xf>
    <xf borderId="52" fillId="0" fontId="5" numFmtId="0" xfId="0" applyBorder="1" applyFont="1"/>
    <xf borderId="53" fillId="0" fontId="12" numFmtId="0" xfId="0" applyAlignment="1" applyBorder="1" applyFont="1">
      <alignment readingOrder="0" vertical="center"/>
    </xf>
    <xf borderId="53" fillId="0" fontId="12" numFmtId="0" xfId="0" applyAlignment="1" applyBorder="1" applyFont="1">
      <alignment readingOrder="0" shrinkToFit="0" vertical="center" wrapText="1"/>
    </xf>
    <xf borderId="53" fillId="0" fontId="12" numFmtId="0" xfId="0" applyAlignment="1" applyBorder="1" applyFont="1">
      <alignment horizontal="center" readingOrder="0" vertical="center"/>
    </xf>
    <xf borderId="53" fillId="0" fontId="12" numFmtId="0" xfId="0" applyAlignment="1" applyBorder="1" applyFont="1">
      <alignment horizontal="center" readingOrder="0" vertical="center"/>
    </xf>
    <xf borderId="54" fillId="0" fontId="12" numFmtId="0" xfId="0" applyAlignment="1" applyBorder="1" applyFont="1">
      <alignment vertical="center"/>
    </xf>
    <xf borderId="48" fillId="13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center" shrinkToFit="0" vertical="bottom" wrapText="1"/>
    </xf>
    <xf borderId="5" fillId="0" fontId="9" numFmtId="0" xfId="0" applyAlignment="1" applyBorder="1" applyFont="1">
      <alignment shrinkToFit="0" vertical="bottom" wrapText="1"/>
    </xf>
    <xf borderId="5" fillId="0" fontId="4" numFmtId="0" xfId="0" applyAlignment="1" applyBorder="1" applyFont="1">
      <alignment horizontal="center" vertical="bottom"/>
    </xf>
    <xf borderId="47" fillId="13" fontId="9" numFmtId="9" xfId="0" applyAlignment="1" applyBorder="1" applyFont="1" applyNumberFormat="1">
      <alignment shrinkToFit="0" vertical="bottom" wrapText="1"/>
    </xf>
    <xf borderId="55" fillId="0" fontId="5" numFmtId="0" xfId="0" applyBorder="1" applyFont="1"/>
    <xf borderId="56" fillId="6" fontId="8" numFmtId="0" xfId="0" applyAlignment="1" applyBorder="1" applyFont="1">
      <alignment horizontal="right" shrinkToFit="0" wrapText="1"/>
    </xf>
    <xf borderId="57" fillId="0" fontId="5" numFmtId="0" xfId="0" applyBorder="1" applyFont="1"/>
    <xf borderId="58" fillId="6" fontId="8" numFmtId="0" xfId="0" applyAlignment="1" applyBorder="1" applyFont="1">
      <alignment horizontal="center" shrinkToFit="0" wrapText="1"/>
    </xf>
    <xf borderId="58" fillId="6" fontId="8" numFmtId="2" xfId="0" applyAlignment="1" applyBorder="1" applyFont="1" applyNumberFormat="1">
      <alignment horizontal="center" shrinkToFit="0" wrapText="1"/>
    </xf>
    <xf borderId="14" fillId="14" fontId="8" numFmtId="0" xfId="0" applyAlignment="1" applyBorder="1" applyFill="1" applyFont="1">
      <alignment horizontal="right" shrinkToFit="0" wrapText="1"/>
    </xf>
    <xf borderId="14" fillId="14" fontId="8" numFmtId="4" xfId="0" applyAlignment="1" applyBorder="1" applyFont="1" applyNumberFormat="1">
      <alignment horizontal="center" shrinkToFit="0" wrapText="1"/>
    </xf>
    <xf borderId="59" fillId="14" fontId="8" numFmtId="2" xfId="0" applyAlignment="1" applyBorder="1" applyFont="1" applyNumberFormat="1">
      <alignment horizontal="center" shrinkToFit="0" vertical="center" wrapText="1"/>
    </xf>
    <xf borderId="59" fillId="6" fontId="8" numFmtId="2" xfId="0" applyAlignment="1" applyBorder="1" applyFont="1" applyNumberFormat="1">
      <alignment horizontal="center" shrinkToFit="0" vertical="center" wrapText="1"/>
    </xf>
    <xf borderId="45" fillId="15" fontId="8" numFmtId="0" xfId="0" applyAlignment="1" applyBorder="1" applyFill="1" applyFont="1">
      <alignment horizontal="center" shrinkToFit="0" wrapText="1"/>
    </xf>
    <xf borderId="45" fillId="15" fontId="8" numFmtId="0" xfId="0" applyAlignment="1" applyBorder="1" applyFont="1">
      <alignment horizontal="center" readingOrder="0" shrinkToFit="0" wrapText="1"/>
    </xf>
    <xf borderId="60" fillId="6" fontId="4" numFmtId="0" xfId="0" applyBorder="1" applyFont="1"/>
    <xf borderId="61" fillId="0" fontId="5" numFmtId="0" xfId="0" applyBorder="1" applyFont="1"/>
    <xf borderId="14" fillId="6" fontId="8" numFmtId="0" xfId="0" applyAlignment="1" applyBorder="1" applyFont="1">
      <alignment horizontal="right" shrinkToFit="0" wrapText="1"/>
    </xf>
    <xf borderId="14" fillId="6" fontId="8" numFmtId="2" xfId="0" applyAlignment="1" applyBorder="1" applyFont="1" applyNumberFormat="1">
      <alignment horizontal="center" shrinkToFit="0" wrapText="1"/>
    </xf>
    <xf borderId="56" fillId="14" fontId="8" numFmtId="0" xfId="0" applyAlignment="1" applyBorder="1" applyFont="1">
      <alignment horizontal="right" shrinkToFit="0" wrapText="1"/>
    </xf>
    <xf borderId="62" fillId="0" fontId="5" numFmtId="0" xfId="0" applyBorder="1" applyFont="1"/>
    <xf borderId="30" fillId="15" fontId="8" numFmtId="0" xfId="0" applyAlignment="1" applyBorder="1" applyFont="1">
      <alignment horizontal="center" shrinkToFit="0" wrapText="1"/>
    </xf>
    <xf borderId="31" fillId="15" fontId="5" numFmtId="0" xfId="0" applyBorder="1" applyFont="1"/>
    <xf borderId="32" fillId="15" fontId="5" numFmtId="0" xfId="0" applyBorder="1" applyFont="1"/>
    <xf borderId="30" fillId="15" fontId="8" numFmtId="166" xfId="0" applyAlignment="1" applyBorder="1" applyFont="1" applyNumberFormat="1">
      <alignment horizontal="center" shrinkToFit="0" wrapText="1"/>
    </xf>
    <xf borderId="63" fillId="0" fontId="12" numFmtId="0" xfId="0" applyAlignment="1" applyBorder="1" applyFont="1">
      <alignment readingOrder="0" vertical="center"/>
    </xf>
    <xf borderId="58" fillId="0" fontId="5" numFmtId="0" xfId="0" applyBorder="1" applyFont="1"/>
    <xf borderId="63" fillId="0" fontId="12" numFmtId="0" xfId="0" applyAlignment="1" applyBorder="1" applyFont="1">
      <alignment readingOrder="0" shrinkToFit="0" vertical="center" wrapText="1"/>
    </xf>
    <xf borderId="64" fillId="6" fontId="4" numFmtId="0" xfId="0" applyBorder="1" applyFont="1"/>
    <xf borderId="65" fillId="0" fontId="5" numFmtId="0" xfId="0" applyBorder="1" applyFont="1"/>
    <xf borderId="63" fillId="0" fontId="12" numFmtId="0" xfId="0" applyAlignment="1" applyBorder="1" applyFont="1">
      <alignment horizontal="center" readingOrder="0" vertical="center"/>
    </xf>
    <xf borderId="45" fillId="15" fontId="8" numFmtId="167" xfId="0" applyAlignment="1" applyBorder="1" applyFont="1" applyNumberFormat="1">
      <alignment horizontal="center" readingOrder="0" shrinkToFit="0" wrapText="1"/>
    </xf>
    <xf borderId="63" fillId="0" fontId="12" numFmtId="0" xfId="0" applyAlignment="1" applyBorder="1" applyFont="1">
      <alignment horizontal="center" readingOrder="0" vertical="center"/>
    </xf>
    <xf borderId="66" fillId="0" fontId="12" numFmtId="0" xfId="0" applyAlignment="1" applyBorder="1" applyFont="1">
      <alignment vertical="center"/>
    </xf>
    <xf borderId="52" fillId="11" fontId="5" numFmtId="0" xfId="0" applyBorder="1" applyFont="1"/>
    <xf borderId="45" fillId="15" fontId="8" numFmtId="166" xfId="0" applyAlignment="1" applyBorder="1" applyFont="1" applyNumberFormat="1">
      <alignment horizontal="center" shrinkToFit="0" wrapText="1"/>
    </xf>
    <xf borderId="67" fillId="15" fontId="8" numFmtId="0" xfId="0" applyAlignment="1" applyBorder="1" applyFont="1">
      <alignment horizontal="center" shrinkToFit="0" wrapText="1"/>
    </xf>
    <xf borderId="68" fillId="11" fontId="5" numFmtId="0" xfId="0" applyBorder="1" applyFont="1"/>
    <xf borderId="55" fillId="16" fontId="5" numFmtId="0" xfId="0" applyBorder="1" applyFill="1" applyFont="1"/>
    <xf borderId="69" fillId="16" fontId="5" numFmtId="0" xfId="0" applyBorder="1" applyFont="1"/>
    <xf borderId="70" fillId="16" fontId="5" numFmtId="0" xfId="0" applyBorder="1" applyFont="1"/>
    <xf borderId="22" fillId="11" fontId="4" numFmtId="0" xfId="0" applyBorder="1" applyFont="1"/>
    <xf borderId="22" fillId="11" fontId="4" numFmtId="167" xfId="0" applyBorder="1" applyFont="1" applyNumberFormat="1"/>
    <xf borderId="22" fillId="11" fontId="4" numFmtId="1" xfId="0" applyBorder="1" applyFont="1" applyNumberFormat="1"/>
    <xf borderId="22" fillId="11" fontId="4" numFmtId="168" xfId="0" applyBorder="1" applyFont="1" applyNumberFormat="1"/>
    <xf borderId="22" fillId="11" fontId="4" numFmtId="10" xfId="0" applyBorder="1" applyFont="1" applyNumberFormat="1"/>
    <xf borderId="22" fillId="11" fontId="4" numFmtId="0" xfId="0" applyAlignment="1" applyBorder="1" applyFont="1">
      <alignment horizontal="center"/>
    </xf>
    <xf borderId="22" fillId="16" fontId="4" numFmtId="0" xfId="0" applyBorder="1" applyFont="1"/>
    <xf borderId="22" fillId="16" fontId="14" numFmtId="167" xfId="0" applyAlignment="1" applyBorder="1" applyFont="1" applyNumberFormat="1">
      <alignment horizontal="center" shrinkToFit="0" wrapText="1"/>
    </xf>
    <xf borderId="22" fillId="16" fontId="14" numFmtId="168" xfId="0" applyAlignment="1" applyBorder="1" applyFont="1" applyNumberFormat="1">
      <alignment horizontal="center" shrinkToFit="0" wrapText="1"/>
    </xf>
    <xf borderId="22" fillId="15" fontId="15" numFmtId="0" xfId="0" applyAlignment="1" applyBorder="1" applyFont="1">
      <alignment readingOrder="0"/>
    </xf>
    <xf borderId="22" fillId="0" fontId="6" numFmtId="0" xfId="0" applyAlignment="1" applyBorder="1" applyFont="1">
      <alignment readingOrder="0"/>
    </xf>
    <xf borderId="22" fillId="0" fontId="9" numFmtId="168" xfId="0" applyAlignment="1" applyBorder="1" applyFont="1" applyNumberFormat="1">
      <alignment horizontal="center" readingOrder="0"/>
    </xf>
    <xf borderId="22" fillId="16" fontId="14" numFmtId="10" xfId="0" applyAlignment="1" applyBorder="1" applyFont="1" applyNumberFormat="1">
      <alignment horizontal="center" shrinkToFit="0" wrapText="1"/>
    </xf>
    <xf borderId="22" fillId="16" fontId="4" numFmtId="0" xfId="0" applyAlignment="1" applyBorder="1" applyFont="1">
      <alignment horizontal="center"/>
    </xf>
    <xf borderId="45" fillId="11" fontId="9" numFmtId="0" xfId="0" applyAlignment="1" applyBorder="1" applyFont="1">
      <alignment readingOrder="0" shrinkToFit="0" vertical="center" wrapText="1"/>
    </xf>
    <xf borderId="22" fillId="0" fontId="6" numFmtId="0" xfId="0" applyBorder="1" applyFont="1"/>
    <xf borderId="22" fillId="11" fontId="9" numFmtId="0" xfId="0" applyAlignment="1" applyBorder="1" applyFont="1">
      <alignment readingOrder="0" shrinkToFit="0" wrapText="1"/>
    </xf>
    <xf borderId="22" fillId="11" fontId="9" numFmtId="0" xfId="0" applyAlignment="1" applyBorder="1" applyFont="1">
      <alignment horizontal="center" readingOrder="0"/>
    </xf>
    <xf borderId="22" fillId="11" fontId="9" numFmtId="0" xfId="0" applyAlignment="1" applyBorder="1" applyFont="1">
      <alignment horizontal="center" readingOrder="0" shrinkToFit="0" wrapText="1"/>
    </xf>
    <xf borderId="22" fillId="11" fontId="9" numFmtId="1" xfId="0" applyAlignment="1" applyBorder="1" applyFont="1" applyNumberFormat="1">
      <alignment horizontal="center" readingOrder="0"/>
    </xf>
    <xf borderId="22" fillId="11" fontId="9" numFmtId="168" xfId="0" applyAlignment="1" applyBorder="1" applyFont="1" applyNumberFormat="1">
      <alignment horizontal="center" readingOrder="0"/>
    </xf>
    <xf borderId="22" fillId="0" fontId="9" numFmtId="1" xfId="0" applyAlignment="1" applyBorder="1" applyFont="1" applyNumberFormat="1">
      <alignment horizontal="center" readingOrder="0"/>
    </xf>
    <xf borderId="22" fillId="11" fontId="9" numFmtId="1" xfId="0" applyAlignment="1" applyBorder="1" applyFont="1" applyNumberFormat="1">
      <alignment horizontal="center" readingOrder="0"/>
    </xf>
    <xf borderId="22" fillId="0" fontId="9" numFmtId="9" xfId="0" applyAlignment="1" applyBorder="1" applyFont="1" applyNumberFormat="1">
      <alignment horizontal="center" readingOrder="0" shrinkToFit="0" wrapText="1"/>
    </xf>
    <xf borderId="22" fillId="0" fontId="4" numFmtId="9" xfId="0" applyBorder="1" applyFont="1" applyNumberFormat="1"/>
    <xf borderId="22" fillId="0" fontId="9" numFmtId="167" xfId="0" applyAlignment="1" applyBorder="1" applyFont="1" applyNumberFormat="1">
      <alignment horizontal="center" readingOrder="0" shrinkToFit="0" wrapText="1"/>
    </xf>
    <xf borderId="22" fillId="0" fontId="9" numFmtId="0" xfId="0" applyAlignment="1" applyBorder="1" applyFont="1">
      <alignment horizontal="center" readingOrder="0" shrinkToFit="0" wrapText="1"/>
    </xf>
    <xf borderId="22" fillId="0" fontId="4" numFmtId="0" xfId="0" applyBorder="1" applyFont="1"/>
    <xf borderId="22" fillId="0" fontId="9" numFmtId="0" xfId="0" applyAlignment="1" applyBorder="1" applyFont="1">
      <alignment readingOrder="0" shrinkToFit="0" wrapText="1"/>
    </xf>
    <xf borderId="22" fillId="6" fontId="9" numFmtId="0" xfId="0" applyAlignment="1" applyBorder="1" applyFont="1">
      <alignment horizontal="center" readingOrder="0"/>
    </xf>
    <xf borderId="22" fillId="6" fontId="9" numFmtId="0" xfId="0" applyAlignment="1" applyBorder="1" applyFont="1">
      <alignment horizontal="center" readingOrder="0" shrinkToFit="0" wrapText="1"/>
    </xf>
    <xf borderId="22" fillId="0" fontId="9" numFmtId="0" xfId="0" applyAlignment="1" applyBorder="1" applyFont="1">
      <alignment horizontal="center" readingOrder="0"/>
    </xf>
    <xf borderId="0" fillId="5" fontId="8" numFmtId="49" xfId="0" applyAlignment="1" applyFont="1" applyNumberFormat="1">
      <alignment horizontal="center" shrinkToFit="0" vertical="bottom" wrapText="1"/>
    </xf>
    <xf borderId="0" fillId="5" fontId="8" numFmtId="49" xfId="0" applyAlignment="1" applyFont="1" applyNumberFormat="1">
      <alignment horizontal="center" readingOrder="0" shrinkToFit="0" vertical="bottom" wrapText="1"/>
    </xf>
    <xf borderId="0" fillId="0" fontId="9" numFmtId="0" xfId="0" applyAlignment="1" applyFont="1">
      <alignment vertical="bottom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readingOrder="0" vertical="bottom"/>
    </xf>
    <xf borderId="0" fillId="0" fontId="9" numFmtId="0" xfId="0" applyFont="1"/>
    <xf borderId="0" fillId="0" fontId="9" numFmtId="0" xfId="0" applyAlignment="1" applyFont="1">
      <alignment readingOrder="0"/>
    </xf>
    <xf borderId="22" fillId="11" fontId="9" numFmtId="168" xfId="0" applyAlignment="1" applyBorder="1" applyFont="1" applyNumberFormat="1">
      <alignment horizontal="center" vertical="bottom"/>
    </xf>
    <xf borderId="22" fillId="11" fontId="9" numFmtId="1" xfId="0" applyAlignment="1" applyBorder="1" applyFont="1" applyNumberFormat="1">
      <alignment horizontal="center" vertical="bottom"/>
    </xf>
    <xf borderId="55" fillId="11" fontId="5" numFmtId="0" xfId="0" applyBorder="1" applyFont="1"/>
    <xf borderId="22" fillId="11" fontId="16" numFmtId="0" xfId="0" applyAlignment="1" applyBorder="1" applyFont="1">
      <alignment horizontal="left" readingOrder="0" shrinkToFit="0" wrapText="1"/>
    </xf>
    <xf borderId="22" fillId="0" fontId="4" numFmtId="9" xfId="0" applyBorder="1" applyFont="1" applyNumberFormat="1"/>
    <xf borderId="22" fillId="11" fontId="9" numFmtId="1" xfId="0" applyAlignment="1" applyBorder="1" applyFont="1" applyNumberFormat="1">
      <alignment horizontal="center" vertical="bottom"/>
    </xf>
    <xf borderId="22" fillId="11" fontId="4" numFmtId="168" xfId="0" applyAlignment="1" applyBorder="1" applyFont="1" applyNumberFormat="1">
      <alignment vertical="bottom"/>
    </xf>
    <xf borderId="22" fillId="11" fontId="4" numFmtId="9" xfId="0" applyAlignment="1" applyBorder="1" applyFont="1" applyNumberFormat="1">
      <alignment vertical="bottom"/>
    </xf>
    <xf borderId="22" fillId="11" fontId="4" numFmtId="1" xfId="0" applyAlignment="1" applyBorder="1" applyFont="1" applyNumberFormat="1">
      <alignment vertical="bottom"/>
    </xf>
    <xf borderId="22" fillId="16" fontId="4" numFmtId="9" xfId="0" applyAlignment="1" applyBorder="1" applyFont="1" applyNumberFormat="1">
      <alignment vertical="bottom"/>
    </xf>
    <xf borderId="22" fillId="0" fontId="4" numFmtId="9" xfId="0" applyAlignment="1" applyBorder="1" applyFont="1" applyNumberFormat="1">
      <alignment vertical="bottom"/>
    </xf>
    <xf borderId="22" fillId="11" fontId="9" numFmtId="168" xfId="0" applyAlignment="1" applyBorder="1" applyFont="1" applyNumberFormat="1">
      <alignment horizontal="center" readingOrder="0" vertical="bottom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34266"/>
          <bgColor rgb="FF33426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4F9"/>
          <bgColor rgb="FFF2F4F9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5">
    <tableStyle count="3" pivot="0" name="Backlog-style">
      <tableStyleElement dxfId="1" type="headerRow"/>
      <tableStyleElement dxfId="2" type="firstRowStripe"/>
      <tableStyleElement dxfId="3" type="secondRowStripe"/>
    </tableStyle>
    <tableStyle count="2" pivot="0" name="Sprint 1-style">
      <tableStyleElement dxfId="2" type="firstRowStripe"/>
      <tableStyleElement dxfId="2" type="secondRowStripe"/>
    </tableStyle>
    <tableStyle count="2" pivot="0" name="Sprint 1-style 2">
      <tableStyleElement dxfId="2" type="firstRowStripe"/>
      <tableStyleElement dxfId="4" type="secondRowStripe"/>
    </tableStyle>
    <tableStyle count="2" pivot="0" name="Sprint 1-style 3">
      <tableStyleElement dxfId="2" type="firstRowStripe"/>
      <tableStyleElement dxfId="2" type="secondRowStripe"/>
    </tableStyle>
    <tableStyle count="2" pivot="0" name="Sprint 1-style 4"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61" displayName="Table_1" name="Table_1" id="1">
  <tableColumns count="8">
    <tableColumn name="No." id="1"/>
    <tableColumn name="Category Milestone" id="2"/>
    <tableColumn name="Type" id="3"/>
    <tableColumn name="Task" id="4"/>
    <tableColumn name="Assignee" id="5"/>
    <tableColumn name="Estimate(h)" id="6"/>
    <tableColumn name="Status" id="7"/>
    <tableColumn name="Note" id="8"/>
  </tableColumns>
  <tableStyleInfo name="Backlog-style" showColumnStripes="0" showFirstColumn="1" showLastColumn="1" showRowStripes="1"/>
</table>
</file>

<file path=xl/tables/table2.xml><?xml version="1.0" encoding="utf-8"?>
<table xmlns="http://schemas.openxmlformats.org/spreadsheetml/2006/main" headerRowCount="0" ref="J6:M65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Sprint 1-style" showColumnStripes="0" showFirstColumn="1" showLastColumn="1" showRowStripes="1"/>
</table>
</file>

<file path=xl/tables/table3.xml><?xml version="1.0" encoding="utf-8"?>
<table xmlns="http://schemas.openxmlformats.org/spreadsheetml/2006/main" headerRowCount="0" ref="N6:Q7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Sprint 1-style 2" showColumnStripes="0" showFirstColumn="1" showLastColumn="1" showRowStripes="1"/>
</table>
</file>

<file path=xl/tables/table4.xml><?xml version="1.0" encoding="utf-8"?>
<table xmlns="http://schemas.openxmlformats.org/spreadsheetml/2006/main" headerRowCount="0" ref="H7:I7" displayName="Table_4" name="Table_4" id="4">
  <tableColumns count="2">
    <tableColumn name="Column1" id="1"/>
    <tableColumn name="Column2" id="2"/>
  </tableColumns>
  <tableStyleInfo name="Sprint 1-style 3" showColumnStripes="0" showFirstColumn="1" showLastColumn="1" showRowStripes="1"/>
</table>
</file>

<file path=xl/tables/table5.xml><?xml version="1.0" encoding="utf-8"?>
<table xmlns="http://schemas.openxmlformats.org/spreadsheetml/2006/main" headerRowCount="0" ref="N8:Q8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Sprint 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7.13"/>
    <col customWidth="1" min="5" max="5" width="18.25"/>
    <col customWidth="1" min="6" max="6" width="14.38"/>
    <col customWidth="1" min="7" max="7" width="12.75"/>
    <col customWidth="1" min="8" max="15" width="8.0"/>
    <col customWidth="1" min="21" max="21" width="5.63"/>
    <col customWidth="1" min="22" max="22" width="18.25"/>
    <col customWidth="1" min="23" max="23" width="7.88"/>
    <col customWidth="1" min="24" max="37" width="3.63"/>
  </cols>
  <sheetData>
    <row r="1">
      <c r="A1" s="3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>
      <c r="U2" s="9" t="s">
        <v>3</v>
      </c>
    </row>
    <row r="3">
      <c r="A3" s="11" t="s">
        <v>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U3" s="15" t="s">
        <v>10</v>
      </c>
      <c r="V3" s="15" t="s">
        <v>14</v>
      </c>
      <c r="W3" s="15" t="s">
        <v>18</v>
      </c>
      <c r="X3" s="18" t="s">
        <v>19</v>
      </c>
      <c r="Y3" s="6"/>
      <c r="Z3" s="6"/>
      <c r="AA3" s="6"/>
      <c r="AB3" s="7"/>
      <c r="AC3" s="18" t="s">
        <v>20</v>
      </c>
      <c r="AD3" s="6"/>
      <c r="AE3" s="6"/>
      <c r="AF3" s="6"/>
      <c r="AG3" s="6"/>
      <c r="AH3" s="6"/>
      <c r="AI3" s="6"/>
      <c r="AJ3" s="6"/>
      <c r="AK3" s="7"/>
    </row>
    <row r="4">
      <c r="A4" s="20" t="s">
        <v>22</v>
      </c>
      <c r="B4" s="21"/>
      <c r="C4" s="21"/>
      <c r="D4" s="24"/>
      <c r="E4" s="27" t="s">
        <v>25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33"/>
      <c r="Q4" s="35" t="s">
        <v>30</v>
      </c>
      <c r="R4" s="38" t="s">
        <v>32</v>
      </c>
      <c r="S4" s="39"/>
      <c r="U4" s="28"/>
      <c r="V4" s="28"/>
      <c r="W4" s="28"/>
      <c r="X4" s="43">
        <v>27.0</v>
      </c>
      <c r="Y4" s="43">
        <v>28.0</v>
      </c>
      <c r="Z4" s="43">
        <v>29.0</v>
      </c>
      <c r="AA4" s="43">
        <v>30.0</v>
      </c>
      <c r="AB4" s="43">
        <v>31.0</v>
      </c>
      <c r="AC4" s="43">
        <v>1.0</v>
      </c>
      <c r="AD4" s="43">
        <v>2.0</v>
      </c>
      <c r="AE4" s="43">
        <v>3.0</v>
      </c>
      <c r="AF4" s="43">
        <v>4.0</v>
      </c>
      <c r="AG4" s="43">
        <v>5.0</v>
      </c>
      <c r="AH4" s="43">
        <v>6.0</v>
      </c>
      <c r="AI4" s="43">
        <v>7.0</v>
      </c>
      <c r="AJ4" s="43">
        <v>8.0</v>
      </c>
      <c r="AK4" s="43">
        <v>9.0</v>
      </c>
    </row>
    <row r="5">
      <c r="A5" s="51" t="s">
        <v>10</v>
      </c>
      <c r="B5" s="51" t="s">
        <v>39</v>
      </c>
      <c r="C5" s="51" t="s">
        <v>41</v>
      </c>
      <c r="D5" s="57" t="s">
        <v>42</v>
      </c>
      <c r="E5" s="58" t="s">
        <v>43</v>
      </c>
      <c r="F5" s="60" t="s">
        <v>44</v>
      </c>
      <c r="G5" s="62" t="s">
        <v>47</v>
      </c>
      <c r="H5" s="65" t="s">
        <v>48</v>
      </c>
      <c r="I5" s="66"/>
      <c r="J5" s="66"/>
      <c r="K5" s="66"/>
      <c r="L5" s="66"/>
      <c r="M5" s="66"/>
      <c r="N5" s="66"/>
      <c r="O5" s="67"/>
      <c r="P5" s="69" t="s">
        <v>50</v>
      </c>
      <c r="Q5" s="70" t="s">
        <v>51</v>
      </c>
      <c r="S5" s="71"/>
      <c r="U5" s="72">
        <v>1.0</v>
      </c>
      <c r="V5" s="73" t="s">
        <v>52</v>
      </c>
      <c r="W5" s="72" t="s">
        <v>54</v>
      </c>
      <c r="X5" s="75">
        <v>8.0</v>
      </c>
      <c r="Y5" s="75">
        <v>8.0</v>
      </c>
      <c r="Z5" s="75">
        <v>8.0</v>
      </c>
      <c r="AA5" s="75">
        <v>8.0</v>
      </c>
      <c r="AB5" s="75">
        <v>8.0</v>
      </c>
      <c r="AC5" s="76"/>
      <c r="AD5" s="76"/>
      <c r="AE5" s="75">
        <v>8.0</v>
      </c>
      <c r="AF5" s="75">
        <v>8.0</v>
      </c>
      <c r="AG5" s="75">
        <v>8.0</v>
      </c>
      <c r="AH5" s="75">
        <v>8.0</v>
      </c>
      <c r="AI5" s="75">
        <v>8.0</v>
      </c>
      <c r="AJ5" s="76"/>
      <c r="AK5" s="76"/>
    </row>
    <row r="6">
      <c r="A6" s="77"/>
      <c r="B6" s="77"/>
      <c r="C6" s="77"/>
      <c r="D6" s="78"/>
      <c r="E6" s="79"/>
      <c r="F6" s="77"/>
      <c r="G6" s="80"/>
      <c r="H6" s="81" t="s">
        <v>19</v>
      </c>
      <c r="I6" s="82"/>
      <c r="J6" s="82"/>
      <c r="K6" s="83"/>
      <c r="L6" s="81" t="s">
        <v>20</v>
      </c>
      <c r="M6" s="82"/>
      <c r="N6" s="82"/>
      <c r="O6" s="83"/>
      <c r="P6" s="84"/>
      <c r="Q6" s="84"/>
      <c r="S6" s="71"/>
      <c r="U6" s="72">
        <v>2.0</v>
      </c>
      <c r="V6" s="73" t="s">
        <v>57</v>
      </c>
      <c r="W6" s="72" t="s">
        <v>54</v>
      </c>
      <c r="X6" s="75">
        <v>8.0</v>
      </c>
      <c r="Y6" s="75">
        <v>8.0</v>
      </c>
      <c r="Z6" s="75">
        <v>8.0</v>
      </c>
      <c r="AA6" s="75">
        <v>8.0</v>
      </c>
      <c r="AB6" s="75">
        <v>8.0</v>
      </c>
      <c r="AC6" s="76"/>
      <c r="AD6" s="76"/>
      <c r="AE6" s="75">
        <v>8.0</v>
      </c>
      <c r="AF6" s="75">
        <v>8.0</v>
      </c>
      <c r="AG6" s="75">
        <v>8.0</v>
      </c>
      <c r="AH6" s="75">
        <v>8.0</v>
      </c>
      <c r="AI6" s="75">
        <v>8.0</v>
      </c>
      <c r="AJ6" s="76"/>
      <c r="AK6" s="76"/>
    </row>
    <row r="7">
      <c r="A7" s="85"/>
      <c r="B7" s="85"/>
      <c r="C7" s="85"/>
      <c r="D7" s="86"/>
      <c r="E7" s="87"/>
      <c r="F7" s="85"/>
      <c r="G7" s="88"/>
      <c r="H7" s="89" t="s">
        <v>26</v>
      </c>
      <c r="I7" s="89" t="s">
        <v>27</v>
      </c>
      <c r="J7" s="90" t="s">
        <v>29</v>
      </c>
      <c r="K7" s="90" t="s">
        <v>34</v>
      </c>
      <c r="L7" s="89" t="s">
        <v>26</v>
      </c>
      <c r="M7" s="89" t="s">
        <v>27</v>
      </c>
      <c r="N7" s="90" t="s">
        <v>29</v>
      </c>
      <c r="O7" s="90" t="s">
        <v>34</v>
      </c>
      <c r="P7" s="91"/>
      <c r="Q7" s="91"/>
      <c r="R7" s="92"/>
      <c r="S7" s="93"/>
      <c r="U7" s="72">
        <v>3.0</v>
      </c>
      <c r="V7" s="73" t="s">
        <v>58</v>
      </c>
      <c r="W7" s="72" t="s">
        <v>54</v>
      </c>
      <c r="X7" s="75">
        <v>8.0</v>
      </c>
      <c r="Y7" s="75">
        <v>8.0</v>
      </c>
      <c r="Z7" s="75">
        <v>8.0</v>
      </c>
      <c r="AA7" s="75">
        <v>8.0</v>
      </c>
      <c r="AB7" s="75">
        <v>8.0</v>
      </c>
      <c r="AC7" s="76"/>
      <c r="AD7" s="76"/>
      <c r="AE7" s="75">
        <v>8.0</v>
      </c>
      <c r="AF7" s="75">
        <v>8.0</v>
      </c>
      <c r="AG7" s="75">
        <v>8.0</v>
      </c>
      <c r="AH7" s="75">
        <v>8.0</v>
      </c>
      <c r="AI7" s="75">
        <v>8.0</v>
      </c>
      <c r="AJ7" s="76"/>
      <c r="AK7" s="76"/>
    </row>
    <row r="8">
      <c r="A8" s="94">
        <v>1.0</v>
      </c>
      <c r="B8" s="95" t="s">
        <v>48</v>
      </c>
      <c r="C8" s="94">
        <v>2.0</v>
      </c>
      <c r="D8" s="96">
        <f>SUM(P8:P13)</f>
        <v>3</v>
      </c>
      <c r="E8" s="97" t="s">
        <v>52</v>
      </c>
      <c r="F8" s="98" t="s">
        <v>59</v>
      </c>
      <c r="G8" s="99" t="s">
        <v>60</v>
      </c>
      <c r="H8" s="100">
        <v>0.0</v>
      </c>
      <c r="I8" s="100">
        <v>0.0</v>
      </c>
      <c r="J8" s="100">
        <v>0.0</v>
      </c>
      <c r="K8" s="101">
        <v>1.0</v>
      </c>
      <c r="L8" s="101">
        <v>1.0</v>
      </c>
      <c r="M8" s="102"/>
      <c r="N8" s="100"/>
      <c r="O8" s="100"/>
      <c r="P8" s="99">
        <f t="shared" ref="P8:P13" si="1">sum(H8:O8)/4</f>
        <v>0.5</v>
      </c>
      <c r="Q8" s="103">
        <f>sum(P8:P13)-C8</f>
        <v>1</v>
      </c>
      <c r="R8" s="104"/>
      <c r="S8" s="105"/>
      <c r="U8" s="72">
        <v>4.0</v>
      </c>
      <c r="V8" s="73" t="s">
        <v>61</v>
      </c>
      <c r="W8" s="72" t="s">
        <v>62</v>
      </c>
      <c r="X8" s="75">
        <v>8.0</v>
      </c>
      <c r="Y8" s="75">
        <v>8.0</v>
      </c>
      <c r="Z8" s="75">
        <v>8.0</v>
      </c>
      <c r="AA8" s="75">
        <v>8.0</v>
      </c>
      <c r="AB8" s="75">
        <v>8.0</v>
      </c>
      <c r="AC8" s="76"/>
      <c r="AD8" s="76"/>
      <c r="AE8" s="75">
        <v>8.0</v>
      </c>
      <c r="AF8" s="75">
        <v>8.0</v>
      </c>
      <c r="AG8" s="75">
        <v>8.0</v>
      </c>
      <c r="AH8" s="75">
        <v>8.0</v>
      </c>
      <c r="AI8" s="75">
        <v>8.0</v>
      </c>
      <c r="AJ8" s="76"/>
      <c r="AK8" s="76"/>
    </row>
    <row r="9">
      <c r="A9" s="111"/>
      <c r="B9" s="111"/>
      <c r="C9" s="111"/>
      <c r="D9" s="111"/>
      <c r="E9" s="97" t="s">
        <v>57</v>
      </c>
      <c r="F9" s="98" t="s">
        <v>59</v>
      </c>
      <c r="G9" s="99" t="s">
        <v>60</v>
      </c>
      <c r="H9" s="100">
        <v>0.0</v>
      </c>
      <c r="I9" s="100">
        <v>0.0</v>
      </c>
      <c r="J9" s="100">
        <v>0.0</v>
      </c>
      <c r="K9" s="101">
        <v>1.0</v>
      </c>
      <c r="L9" s="101">
        <v>1.0</v>
      </c>
      <c r="M9" s="102"/>
      <c r="N9" s="100"/>
      <c r="O9" s="100"/>
      <c r="P9" s="99">
        <f t="shared" si="1"/>
        <v>0.5</v>
      </c>
      <c r="Q9" s="111"/>
      <c r="R9" s="104"/>
      <c r="S9" s="105"/>
      <c r="U9" s="72">
        <v>5.0</v>
      </c>
      <c r="V9" s="73" t="s">
        <v>63</v>
      </c>
      <c r="W9" s="72" t="s">
        <v>62</v>
      </c>
      <c r="X9" s="75">
        <v>8.0</v>
      </c>
      <c r="Y9" s="75">
        <v>8.0</v>
      </c>
      <c r="Z9" s="75">
        <v>8.0</v>
      </c>
      <c r="AA9" s="75">
        <v>8.0</v>
      </c>
      <c r="AB9" s="75">
        <v>8.0</v>
      </c>
      <c r="AC9" s="76"/>
      <c r="AD9" s="76"/>
      <c r="AE9" s="75">
        <v>8.0</v>
      </c>
      <c r="AF9" s="75">
        <v>8.0</v>
      </c>
      <c r="AG9" s="75">
        <v>8.0</v>
      </c>
      <c r="AH9" s="75">
        <v>8.0</v>
      </c>
      <c r="AI9" s="75">
        <v>8.0</v>
      </c>
      <c r="AJ9" s="76"/>
      <c r="AK9" s="76"/>
    </row>
    <row r="10">
      <c r="A10" s="111"/>
      <c r="B10" s="111"/>
      <c r="C10" s="111"/>
      <c r="D10" s="111"/>
      <c r="E10" s="97" t="s">
        <v>58</v>
      </c>
      <c r="F10" s="98" t="s">
        <v>59</v>
      </c>
      <c r="G10" s="99" t="s">
        <v>60</v>
      </c>
      <c r="H10" s="100">
        <v>0.0</v>
      </c>
      <c r="I10" s="100">
        <v>0.0</v>
      </c>
      <c r="J10" s="100">
        <v>0.0</v>
      </c>
      <c r="K10" s="101">
        <v>1.0</v>
      </c>
      <c r="L10" s="101">
        <v>1.0</v>
      </c>
      <c r="M10" s="102"/>
      <c r="N10" s="100"/>
      <c r="O10" s="100"/>
      <c r="P10" s="99">
        <f t="shared" si="1"/>
        <v>0.5</v>
      </c>
      <c r="Q10" s="111"/>
      <c r="R10" s="117"/>
      <c r="S10" s="105"/>
      <c r="U10" s="118">
        <v>6.0</v>
      </c>
      <c r="V10" s="119" t="s">
        <v>64</v>
      </c>
      <c r="W10" s="118" t="s">
        <v>62</v>
      </c>
      <c r="X10" s="120">
        <v>8.0</v>
      </c>
      <c r="Y10" s="120">
        <v>8.0</v>
      </c>
      <c r="Z10" s="120">
        <v>8.0</v>
      </c>
      <c r="AA10" s="120">
        <v>8.0</v>
      </c>
      <c r="AB10" s="120">
        <v>8.0</v>
      </c>
      <c r="AC10" s="76"/>
      <c r="AD10" s="76"/>
      <c r="AE10" s="120">
        <v>8.0</v>
      </c>
      <c r="AF10" s="120">
        <v>8.0</v>
      </c>
      <c r="AG10" s="120">
        <v>8.0</v>
      </c>
      <c r="AH10" s="120">
        <v>8.0</v>
      </c>
      <c r="AI10" s="120">
        <v>8.0</v>
      </c>
      <c r="AJ10" s="76"/>
      <c r="AK10" s="76"/>
    </row>
    <row r="11">
      <c r="A11" s="111"/>
      <c r="B11" s="111"/>
      <c r="C11" s="111"/>
      <c r="D11" s="111"/>
      <c r="E11" s="97" t="s">
        <v>61</v>
      </c>
      <c r="F11" s="121" t="s">
        <v>65</v>
      </c>
      <c r="G11" s="99" t="s">
        <v>60</v>
      </c>
      <c r="H11" s="100">
        <v>0.0</v>
      </c>
      <c r="I11" s="100">
        <v>0.0</v>
      </c>
      <c r="J11" s="100">
        <v>0.0</v>
      </c>
      <c r="K11" s="101">
        <v>1.0</v>
      </c>
      <c r="L11" s="101">
        <v>1.0</v>
      </c>
      <c r="M11" s="102"/>
      <c r="N11" s="100"/>
      <c r="O11" s="100"/>
      <c r="P11" s="99">
        <f t="shared" si="1"/>
        <v>0.5</v>
      </c>
      <c r="Q11" s="111"/>
      <c r="R11" s="104"/>
      <c r="S11" s="105"/>
    </row>
    <row r="12">
      <c r="A12" s="111"/>
      <c r="B12" s="111"/>
      <c r="C12" s="111"/>
      <c r="D12" s="111"/>
      <c r="E12" s="97" t="s">
        <v>63</v>
      </c>
      <c r="F12" s="121" t="s">
        <v>65</v>
      </c>
      <c r="G12" s="99" t="s">
        <v>60</v>
      </c>
      <c r="H12" s="100">
        <v>0.0</v>
      </c>
      <c r="I12" s="100">
        <v>0.0</v>
      </c>
      <c r="J12" s="100">
        <v>0.0</v>
      </c>
      <c r="K12" s="101">
        <v>1.0</v>
      </c>
      <c r="L12" s="101">
        <v>1.0</v>
      </c>
      <c r="M12" s="102"/>
      <c r="N12" s="100"/>
      <c r="O12" s="100"/>
      <c r="P12" s="99">
        <f t="shared" si="1"/>
        <v>0.5</v>
      </c>
      <c r="Q12" s="111"/>
      <c r="R12" s="104"/>
      <c r="S12" s="105"/>
    </row>
    <row r="13">
      <c r="A13" s="122"/>
      <c r="B13" s="122"/>
      <c r="C13" s="122"/>
      <c r="D13" s="122"/>
      <c r="E13" s="97" t="s">
        <v>64</v>
      </c>
      <c r="F13" s="121" t="s">
        <v>65</v>
      </c>
      <c r="G13" s="99" t="s">
        <v>60</v>
      </c>
      <c r="H13" s="100">
        <v>0.0</v>
      </c>
      <c r="I13" s="100">
        <v>0.0</v>
      </c>
      <c r="J13" s="100">
        <v>0.0</v>
      </c>
      <c r="K13" s="101">
        <v>1.0</v>
      </c>
      <c r="L13" s="101">
        <v>1.0</v>
      </c>
      <c r="M13" s="102"/>
      <c r="N13" s="100"/>
      <c r="O13" s="100"/>
      <c r="P13" s="99">
        <f t="shared" si="1"/>
        <v>0.5</v>
      </c>
      <c r="Q13" s="122"/>
      <c r="R13" s="104"/>
      <c r="S13" s="105"/>
    </row>
    <row r="14">
      <c r="A14" s="123" t="s">
        <v>66</v>
      </c>
      <c r="B14" s="124"/>
      <c r="C14" s="125">
        <f t="shared" ref="C14:D14" si="2">sum(C8:C13)</f>
        <v>2</v>
      </c>
      <c r="D14" s="126">
        <f t="shared" si="2"/>
        <v>3</v>
      </c>
      <c r="E14" s="127" t="s">
        <v>67</v>
      </c>
      <c r="F14" s="29"/>
      <c r="G14" s="33"/>
      <c r="H14" s="128">
        <f>sum(H8:K13)/4</f>
        <v>1.5</v>
      </c>
      <c r="I14" s="29"/>
      <c r="J14" s="29"/>
      <c r="K14" s="33"/>
      <c r="L14" s="128">
        <f>sum(L8:O13)/4</f>
        <v>1.5</v>
      </c>
      <c r="M14" s="29"/>
      <c r="N14" s="29"/>
      <c r="O14" s="33"/>
      <c r="P14" s="129">
        <f>SUM(P8:P13)</f>
        <v>3</v>
      </c>
      <c r="Q14" s="130">
        <f>sum(Q8:Q13)</f>
        <v>1</v>
      </c>
      <c r="R14" s="133"/>
      <c r="S14" s="134"/>
    </row>
    <row r="15">
      <c r="A15" s="135" t="s">
        <v>70</v>
      </c>
      <c r="B15" s="33"/>
      <c r="C15" s="136">
        <f>D14-C14</f>
        <v>1</v>
      </c>
      <c r="D15" s="33"/>
      <c r="E15" s="137" t="s">
        <v>72</v>
      </c>
      <c r="F15" s="138"/>
      <c r="G15" s="124"/>
      <c r="H15" s="128">
        <f>sum(H14:O14)</f>
        <v>3</v>
      </c>
      <c r="I15" s="29"/>
      <c r="J15" s="29"/>
      <c r="K15" s="29"/>
      <c r="L15" s="29"/>
      <c r="M15" s="29"/>
      <c r="N15" s="29"/>
      <c r="O15" s="33"/>
      <c r="P15" s="144"/>
      <c r="Q15" s="144"/>
      <c r="R15" s="146"/>
      <c r="S15" s="147"/>
    </row>
  </sheetData>
  <mergeCells count="46">
    <mergeCell ref="A14:B14"/>
    <mergeCell ref="A15:B15"/>
    <mergeCell ref="C15:D15"/>
    <mergeCell ref="E15:G15"/>
    <mergeCell ref="E5:E7"/>
    <mergeCell ref="F5:F7"/>
    <mergeCell ref="A8:A13"/>
    <mergeCell ref="B8:B13"/>
    <mergeCell ref="C8:C13"/>
    <mergeCell ref="D8:D13"/>
    <mergeCell ref="E14:G14"/>
    <mergeCell ref="A1:S1"/>
    <mergeCell ref="A3:S3"/>
    <mergeCell ref="U3:U4"/>
    <mergeCell ref="V3:V4"/>
    <mergeCell ref="W3:W4"/>
    <mergeCell ref="X3:AB3"/>
    <mergeCell ref="AC3:AK3"/>
    <mergeCell ref="U2:AK2"/>
    <mergeCell ref="E4:P4"/>
    <mergeCell ref="H5:O5"/>
    <mergeCell ref="H6:K6"/>
    <mergeCell ref="L6:O6"/>
    <mergeCell ref="A4:D4"/>
    <mergeCell ref="R4:S7"/>
    <mergeCell ref="A5:A7"/>
    <mergeCell ref="B5:B7"/>
    <mergeCell ref="C5:C7"/>
    <mergeCell ref="D5:D7"/>
    <mergeCell ref="G5:G7"/>
    <mergeCell ref="R12:S12"/>
    <mergeCell ref="R13:S13"/>
    <mergeCell ref="H14:K14"/>
    <mergeCell ref="L14:O14"/>
    <mergeCell ref="R14:S14"/>
    <mergeCell ref="H15:O15"/>
    <mergeCell ref="R15:S15"/>
    <mergeCell ref="P14:P15"/>
    <mergeCell ref="Q14:Q15"/>
    <mergeCell ref="P5:P7"/>
    <mergeCell ref="Q5:Q7"/>
    <mergeCell ref="Q8:Q13"/>
    <mergeCell ref="R8:S8"/>
    <mergeCell ref="R9:S9"/>
    <mergeCell ref="R10:S10"/>
    <mergeCell ref="R11:S11"/>
  </mergeCells>
  <dataValidations>
    <dataValidation type="list" allowBlank="1" showErrorMessage="1" sqref="W5:W10">
      <formula1>Config!$K$2:$K$12</formula1>
    </dataValidation>
    <dataValidation type="list" allowBlank="1" showErrorMessage="1" sqref="G8:G13">
      <formula1>Config!$F$2:$F$12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7.88"/>
    <col customWidth="1" min="7" max="7" width="16.75"/>
    <col customWidth="1" min="9" max="9" width="15.63"/>
    <col customWidth="1" min="10" max="10" width="18.13"/>
    <col customWidth="1" min="11" max="11" width="38.0"/>
  </cols>
  <sheetData>
    <row r="1">
      <c r="A1" s="1" t="s">
        <v>0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>
      <c r="A3" s="4"/>
      <c r="B3" s="10" t="s">
        <v>4</v>
      </c>
      <c r="C3" s="12" t="s">
        <v>6</v>
      </c>
      <c r="D3" s="10" t="s">
        <v>7</v>
      </c>
      <c r="E3" s="10" t="s">
        <v>8</v>
      </c>
      <c r="F3" s="14" t="s">
        <v>9</v>
      </c>
      <c r="G3" s="14" t="s">
        <v>11</v>
      </c>
      <c r="H3" s="10" t="s">
        <v>12</v>
      </c>
      <c r="I3" s="10" t="s">
        <v>13</v>
      </c>
      <c r="J3" s="10" t="s">
        <v>15</v>
      </c>
      <c r="K3" s="16" t="s">
        <v>17</v>
      </c>
      <c r="L3" s="4"/>
    </row>
    <row r="4">
      <c r="A4" s="4"/>
      <c r="B4" s="19">
        <f>ROW()-3</f>
        <v>1</v>
      </c>
      <c r="C4" s="23" t="s">
        <v>23</v>
      </c>
      <c r="D4" s="25">
        <v>46230.0</v>
      </c>
      <c r="E4" s="25">
        <v>46241.0</v>
      </c>
      <c r="F4" s="30">
        <f>'Sprint 1'!J5</f>
        <v>480</v>
      </c>
      <c r="G4" s="30">
        <f>'Sprint 1'!P5</f>
        <v>234</v>
      </c>
      <c r="H4" s="37" t="str">
        <f>'Sprint 1'!$N$5</f>
        <v>51,25%</v>
      </c>
      <c r="I4" s="48" t="s">
        <v>38</v>
      </c>
      <c r="J4" s="50"/>
      <c r="K4" s="53"/>
      <c r="L4" s="4"/>
    </row>
    <row r="5">
      <c r="A5" s="4"/>
      <c r="B5" s="19"/>
      <c r="C5" s="56"/>
      <c r="D5" s="25"/>
      <c r="E5" s="25"/>
      <c r="F5" s="30"/>
      <c r="G5" s="30"/>
      <c r="H5" s="37"/>
      <c r="I5" s="48"/>
      <c r="J5" s="50"/>
      <c r="K5" s="53"/>
      <c r="L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>
      <c r="A8" s="4"/>
      <c r="B8" s="4"/>
      <c r="C8" s="4"/>
      <c r="D8" s="4"/>
      <c r="E8" s="68"/>
      <c r="F8" s="4"/>
      <c r="G8" s="4"/>
      <c r="H8" s="4"/>
      <c r="I8" s="4"/>
      <c r="J8" s="4"/>
      <c r="K8" s="4"/>
      <c r="L8" s="4"/>
    </row>
    <row r="9">
      <c r="A9" s="4"/>
      <c r="B9" s="4"/>
      <c r="C9" s="4"/>
      <c r="D9" s="4"/>
      <c r="E9" s="68"/>
      <c r="F9" s="4"/>
      <c r="G9" s="4"/>
      <c r="H9" s="4"/>
      <c r="I9" s="4"/>
      <c r="J9" s="4"/>
      <c r="K9" s="4"/>
      <c r="L9" s="4"/>
    </row>
    <row r="10">
      <c r="A10" s="4"/>
      <c r="B10" s="4"/>
      <c r="C10" s="4"/>
      <c r="D10" s="4"/>
      <c r="E10" s="68"/>
      <c r="F10" s="74"/>
      <c r="G10" s="4"/>
      <c r="H10" s="4"/>
      <c r="I10" s="4"/>
      <c r="J10" s="4"/>
      <c r="K10" s="4"/>
      <c r="L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</sheetData>
  <mergeCells count="1">
    <mergeCell ref="A1:L1"/>
  </mergeCells>
  <dataValidations>
    <dataValidation type="list" allowBlank="1" showErrorMessage="1" sqref="I4">
      <formula1>Config!$I$2:$I$12</formula1>
    </dataValidation>
  </dataValidations>
  <hyperlinks>
    <hyperlink display="Sprint 1" location="'Sprint 1'!A1" ref="C4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6" max="13" width="6.25"/>
    <col customWidth="1" min="14" max="14" width="50.63"/>
  </cols>
  <sheetData>
    <row r="1">
      <c r="A1" s="2" t="s">
        <v>1</v>
      </c>
      <c r="B1" s="6"/>
      <c r="C1" s="7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>
      <c r="A2" s="17" t="s">
        <v>16</v>
      </c>
      <c r="B2" s="17" t="s">
        <v>7</v>
      </c>
      <c r="C2" s="17" t="s">
        <v>8</v>
      </c>
      <c r="D2" s="17" t="s">
        <v>21</v>
      </c>
      <c r="E2" s="17" t="s">
        <v>13</v>
      </c>
      <c r="F2" s="22" t="s">
        <v>19</v>
      </c>
      <c r="G2" s="6"/>
      <c r="H2" s="6"/>
      <c r="I2" s="7"/>
      <c r="J2" s="22" t="s">
        <v>20</v>
      </c>
      <c r="K2" s="6"/>
      <c r="L2" s="6"/>
      <c r="M2" s="7"/>
      <c r="N2" s="26" t="s">
        <v>17</v>
      </c>
    </row>
    <row r="3">
      <c r="A3" s="28"/>
      <c r="B3" s="28"/>
      <c r="C3" s="28"/>
      <c r="D3" s="28"/>
      <c r="E3" s="28"/>
      <c r="F3" s="32" t="s">
        <v>26</v>
      </c>
      <c r="G3" s="32" t="s">
        <v>27</v>
      </c>
      <c r="H3" s="36" t="s">
        <v>29</v>
      </c>
      <c r="I3" s="36" t="s">
        <v>34</v>
      </c>
      <c r="J3" s="32" t="s">
        <v>26</v>
      </c>
      <c r="K3" s="32" t="s">
        <v>27</v>
      </c>
      <c r="L3" s="36" t="s">
        <v>29</v>
      </c>
      <c r="M3" s="36" t="s">
        <v>34</v>
      </c>
      <c r="N3" s="28"/>
    </row>
    <row r="4">
      <c r="A4" s="41" t="s">
        <v>37</v>
      </c>
      <c r="B4" s="45">
        <f>MIN(B5:B9)</f>
        <v>46230</v>
      </c>
      <c r="C4" s="45">
        <f>MAX(C5:C9)</f>
        <v>46241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>
      <c r="A5" s="54" t="s">
        <v>40</v>
      </c>
      <c r="B5" s="55">
        <v>46230.0</v>
      </c>
      <c r="C5" s="55">
        <v>46231.0</v>
      </c>
      <c r="D5" s="59" t="s">
        <v>45</v>
      </c>
      <c r="E5" s="61" t="s">
        <v>46</v>
      </c>
      <c r="F5" s="63"/>
      <c r="G5" s="63"/>
      <c r="H5" s="63"/>
      <c r="I5" s="64"/>
      <c r="J5" s="63"/>
      <c r="K5" s="63"/>
      <c r="L5" s="63"/>
      <c r="M5" s="63"/>
      <c r="N5" s="63"/>
    </row>
    <row r="6">
      <c r="A6" s="54" t="s">
        <v>49</v>
      </c>
      <c r="B6" s="55">
        <v>46232.0</v>
      </c>
      <c r="C6" s="55">
        <v>46234.0</v>
      </c>
      <c r="D6" s="59" t="s">
        <v>45</v>
      </c>
      <c r="E6" s="61" t="s">
        <v>46</v>
      </c>
      <c r="F6" s="63"/>
      <c r="G6" s="63"/>
      <c r="H6" s="63"/>
      <c r="I6" s="64"/>
      <c r="J6" s="63"/>
      <c r="K6" s="63"/>
      <c r="L6" s="63"/>
      <c r="M6" s="63"/>
      <c r="N6" s="63"/>
    </row>
    <row r="7">
      <c r="A7" s="54" t="s">
        <v>53</v>
      </c>
      <c r="B7" s="55">
        <v>46237.0</v>
      </c>
      <c r="C7" s="55">
        <v>46239.0</v>
      </c>
      <c r="D7" s="59" t="s">
        <v>45</v>
      </c>
      <c r="E7" s="61" t="s">
        <v>46</v>
      </c>
      <c r="F7" s="63"/>
      <c r="G7" s="63"/>
      <c r="H7" s="63"/>
      <c r="I7" s="63"/>
      <c r="J7" s="64"/>
      <c r="K7" s="63"/>
      <c r="L7" s="63"/>
      <c r="M7" s="63"/>
      <c r="N7" s="63"/>
    </row>
    <row r="8">
      <c r="A8" s="54" t="s">
        <v>55</v>
      </c>
      <c r="B8" s="55">
        <v>46237.0</v>
      </c>
      <c r="C8" s="55">
        <v>46241.0</v>
      </c>
      <c r="D8" s="59" t="s">
        <v>45</v>
      </c>
      <c r="E8" s="61" t="s">
        <v>46</v>
      </c>
      <c r="F8" s="63"/>
      <c r="G8" s="63"/>
      <c r="H8" s="63"/>
      <c r="I8" s="63"/>
      <c r="J8" s="64"/>
      <c r="K8" s="63"/>
      <c r="L8" s="63"/>
      <c r="M8" s="63"/>
      <c r="N8" s="63"/>
    </row>
    <row r="9">
      <c r="A9" s="54" t="s">
        <v>56</v>
      </c>
      <c r="B9" s="55">
        <v>46240.0</v>
      </c>
      <c r="C9" s="55">
        <v>46241.0</v>
      </c>
      <c r="D9" s="59" t="s">
        <v>45</v>
      </c>
      <c r="E9" s="61" t="s">
        <v>46</v>
      </c>
      <c r="F9" s="63"/>
      <c r="G9" s="63"/>
      <c r="H9" s="63"/>
      <c r="I9" s="63"/>
      <c r="J9" s="64"/>
      <c r="K9" s="63"/>
      <c r="L9" s="63"/>
      <c r="M9" s="63"/>
      <c r="N9" s="63"/>
    </row>
  </sheetData>
  <mergeCells count="9">
    <mergeCell ref="J2:M2"/>
    <mergeCell ref="N2:N3"/>
    <mergeCell ref="A1:C1"/>
    <mergeCell ref="A2:A3"/>
    <mergeCell ref="B2:B3"/>
    <mergeCell ref="C2:C3"/>
    <mergeCell ref="D2:D3"/>
    <mergeCell ref="E2:E3"/>
    <mergeCell ref="F2:I2"/>
  </mergeCells>
  <dataValidations>
    <dataValidation type="list" allowBlank="1" showErrorMessage="1" sqref="D5:D9">
      <formula1>"KH,MOR"</formula1>
    </dataValidation>
    <dataValidation type="list" allowBlank="1" showErrorMessage="1" sqref="E5:E9">
      <formula1>"Open,Inprogress,Done,Pending"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23.75"/>
    <col customWidth="1" min="3" max="3" width="8.13"/>
    <col customWidth="1" min="4" max="4" width="49.63"/>
    <col customWidth="1" min="5" max="7" width="11.38"/>
    <col customWidth="1" min="8" max="8" width="18.88"/>
  </cols>
  <sheetData>
    <row r="1">
      <c r="A1" s="31" t="s">
        <v>24</v>
      </c>
      <c r="B1" s="34" t="s">
        <v>28</v>
      </c>
      <c r="C1" s="34" t="s">
        <v>31</v>
      </c>
      <c r="D1" s="34" t="s">
        <v>33</v>
      </c>
      <c r="E1" s="34" t="s">
        <v>35</v>
      </c>
      <c r="F1" s="34" t="s">
        <v>36</v>
      </c>
      <c r="G1" s="34" t="s">
        <v>13</v>
      </c>
      <c r="H1" s="40" t="s">
        <v>17</v>
      </c>
    </row>
    <row r="2">
      <c r="A2" s="42"/>
      <c r="B2" s="44"/>
      <c r="C2" s="44"/>
      <c r="D2" s="46"/>
      <c r="E2" s="44"/>
      <c r="F2" s="49"/>
      <c r="G2" s="42"/>
      <c r="H2" s="52"/>
    </row>
    <row r="3">
      <c r="A3" s="42"/>
      <c r="B3" s="44"/>
      <c r="C3" s="44"/>
      <c r="D3" s="46"/>
      <c r="E3" s="44"/>
      <c r="F3" s="49"/>
      <c r="G3" s="42"/>
      <c r="H3" s="52"/>
    </row>
    <row r="4">
      <c r="A4" s="42"/>
      <c r="B4" s="44"/>
      <c r="C4" s="44"/>
      <c r="D4" s="46"/>
      <c r="E4" s="44"/>
      <c r="F4" s="49"/>
      <c r="G4" s="42"/>
      <c r="H4" s="52"/>
    </row>
    <row r="5">
      <c r="A5" s="42"/>
      <c r="B5" s="44"/>
      <c r="C5" s="44"/>
      <c r="D5" s="46"/>
      <c r="E5" s="44"/>
      <c r="F5" s="49"/>
      <c r="G5" s="42"/>
      <c r="H5" s="52"/>
    </row>
    <row r="6">
      <c r="A6" s="42"/>
      <c r="B6" s="44"/>
      <c r="C6" s="44"/>
      <c r="D6" s="46"/>
      <c r="E6" s="44"/>
      <c r="F6" s="49"/>
      <c r="G6" s="42"/>
      <c r="H6" s="52"/>
    </row>
    <row r="7">
      <c r="A7" s="42"/>
      <c r="B7" s="44"/>
      <c r="C7" s="44"/>
      <c r="D7" s="46"/>
      <c r="E7" s="44"/>
      <c r="F7" s="49"/>
      <c r="G7" s="42"/>
      <c r="H7" s="52"/>
    </row>
    <row r="8">
      <c r="A8" s="42"/>
      <c r="B8" s="44"/>
      <c r="C8" s="44"/>
      <c r="D8" s="46"/>
      <c r="E8" s="44"/>
      <c r="F8" s="49"/>
      <c r="G8" s="42"/>
      <c r="H8" s="52"/>
    </row>
    <row r="9">
      <c r="A9" s="42"/>
      <c r="B9" s="44"/>
      <c r="C9" s="44"/>
      <c r="D9" s="46"/>
      <c r="E9" s="44"/>
      <c r="F9" s="49"/>
      <c r="G9" s="42"/>
      <c r="H9" s="52"/>
    </row>
    <row r="10">
      <c r="A10" s="42"/>
      <c r="B10" s="44"/>
      <c r="C10" s="44"/>
      <c r="D10" s="46"/>
      <c r="E10" s="44"/>
      <c r="F10" s="49"/>
      <c r="G10" s="42"/>
      <c r="H10" s="52"/>
    </row>
    <row r="11">
      <c r="A11" s="42"/>
      <c r="B11" s="44"/>
      <c r="C11" s="44"/>
      <c r="D11" s="46"/>
      <c r="E11" s="44"/>
      <c r="F11" s="49"/>
      <c r="G11" s="42"/>
      <c r="H11" s="52"/>
    </row>
    <row r="12">
      <c r="A12" s="42"/>
      <c r="B12" s="44"/>
      <c r="C12" s="44"/>
      <c r="D12" s="46"/>
      <c r="E12" s="44"/>
      <c r="F12" s="49"/>
      <c r="G12" s="42"/>
      <c r="H12" s="52"/>
    </row>
    <row r="13">
      <c r="A13" s="42"/>
      <c r="B13" s="44"/>
      <c r="C13" s="44"/>
      <c r="D13" s="46"/>
      <c r="E13" s="44"/>
      <c r="F13" s="49"/>
      <c r="G13" s="42"/>
      <c r="H13" s="52"/>
    </row>
    <row r="14">
      <c r="A14" s="42"/>
      <c r="B14" s="44"/>
      <c r="C14" s="44"/>
      <c r="D14" s="46"/>
      <c r="E14" s="44"/>
      <c r="F14" s="49"/>
      <c r="G14" s="42"/>
      <c r="H14" s="52"/>
    </row>
    <row r="15">
      <c r="A15" s="42"/>
      <c r="B15" s="44"/>
      <c r="C15" s="44"/>
      <c r="D15" s="46"/>
      <c r="E15" s="44"/>
      <c r="F15" s="49"/>
      <c r="G15" s="42"/>
      <c r="H15" s="52"/>
    </row>
    <row r="16">
      <c r="A16" s="42"/>
      <c r="B16" s="44"/>
      <c r="C16" s="44"/>
      <c r="D16" s="46"/>
      <c r="E16" s="44"/>
      <c r="F16" s="49"/>
      <c r="G16" s="42"/>
      <c r="H16" s="52"/>
    </row>
    <row r="17">
      <c r="A17" s="42"/>
      <c r="B17" s="44"/>
      <c r="C17" s="44"/>
      <c r="D17" s="46"/>
      <c r="E17" s="44"/>
      <c r="F17" s="49"/>
      <c r="G17" s="42"/>
      <c r="H17" s="52"/>
    </row>
    <row r="18">
      <c r="A18" s="42"/>
      <c r="B18" s="44"/>
      <c r="C18" s="44"/>
      <c r="D18" s="46"/>
      <c r="E18" s="44"/>
      <c r="F18" s="49"/>
      <c r="G18" s="42"/>
      <c r="H18" s="52"/>
    </row>
    <row r="19">
      <c r="A19" s="42"/>
      <c r="B19" s="44"/>
      <c r="C19" s="44"/>
      <c r="D19" s="46"/>
      <c r="E19" s="44"/>
      <c r="F19" s="49"/>
      <c r="G19" s="42"/>
      <c r="H19" s="52"/>
    </row>
    <row r="20">
      <c r="A20" s="42"/>
      <c r="B20" s="44"/>
      <c r="C20" s="44"/>
      <c r="D20" s="46"/>
      <c r="E20" s="44"/>
      <c r="F20" s="49"/>
      <c r="G20" s="42"/>
      <c r="H20" s="52"/>
    </row>
    <row r="21">
      <c r="A21" s="42"/>
      <c r="B21" s="44"/>
      <c r="C21" s="44"/>
      <c r="D21" s="46"/>
      <c r="E21" s="44"/>
      <c r="F21" s="49"/>
      <c r="G21" s="42"/>
      <c r="H21" s="52"/>
    </row>
    <row r="22">
      <c r="A22" s="42"/>
      <c r="B22" s="44"/>
      <c r="C22" s="44"/>
      <c r="D22" s="46"/>
      <c r="E22" s="44"/>
      <c r="F22" s="49"/>
      <c r="G22" s="42"/>
      <c r="H22" s="52"/>
    </row>
    <row r="23">
      <c r="A23" s="42"/>
      <c r="B23" s="44"/>
      <c r="C23" s="44"/>
      <c r="D23" s="46"/>
      <c r="E23" s="44"/>
      <c r="F23" s="49"/>
      <c r="G23" s="42"/>
      <c r="H23" s="52"/>
    </row>
    <row r="24">
      <c r="A24" s="42"/>
      <c r="B24" s="44"/>
      <c r="C24" s="44"/>
      <c r="D24" s="46"/>
      <c r="E24" s="44"/>
      <c r="F24" s="49"/>
      <c r="G24" s="42"/>
      <c r="H24" s="52"/>
    </row>
    <row r="25">
      <c r="A25" s="42"/>
      <c r="B25" s="44"/>
      <c r="C25" s="44"/>
      <c r="D25" s="46"/>
      <c r="E25" s="44"/>
      <c r="F25" s="49"/>
      <c r="G25" s="42"/>
      <c r="H25" s="52"/>
    </row>
    <row r="26">
      <c r="A26" s="42"/>
      <c r="B26" s="44"/>
      <c r="C26" s="44"/>
      <c r="D26" s="46"/>
      <c r="E26" s="44"/>
      <c r="F26" s="49"/>
      <c r="G26" s="42"/>
      <c r="H26" s="52"/>
    </row>
    <row r="27">
      <c r="A27" s="42"/>
      <c r="B27" s="44"/>
      <c r="C27" s="44"/>
      <c r="D27" s="46"/>
      <c r="E27" s="44"/>
      <c r="F27" s="49"/>
      <c r="G27" s="42"/>
      <c r="H27" s="52"/>
    </row>
    <row r="28">
      <c r="A28" s="42"/>
      <c r="B28" s="44"/>
      <c r="C28" s="44"/>
      <c r="D28" s="46"/>
      <c r="E28" s="44"/>
      <c r="F28" s="49"/>
      <c r="G28" s="42"/>
      <c r="H28" s="52"/>
    </row>
    <row r="29">
      <c r="A29" s="42"/>
      <c r="B29" s="44"/>
      <c r="C29" s="44"/>
      <c r="D29" s="46"/>
      <c r="E29" s="44"/>
      <c r="F29" s="49"/>
      <c r="G29" s="42"/>
      <c r="H29" s="52"/>
    </row>
    <row r="30">
      <c r="A30" s="42"/>
      <c r="B30" s="44"/>
      <c r="C30" s="44"/>
      <c r="D30" s="46"/>
      <c r="E30" s="44"/>
      <c r="F30" s="49"/>
      <c r="G30" s="42"/>
      <c r="H30" s="52"/>
    </row>
    <row r="31">
      <c r="A31" s="42"/>
      <c r="B31" s="44"/>
      <c r="C31" s="44"/>
      <c r="D31" s="46"/>
      <c r="E31" s="44"/>
      <c r="F31" s="49"/>
      <c r="G31" s="42"/>
      <c r="H31" s="52"/>
    </row>
    <row r="32">
      <c r="A32" s="42"/>
      <c r="B32" s="44"/>
      <c r="C32" s="44"/>
      <c r="D32" s="46"/>
      <c r="E32" s="44"/>
      <c r="F32" s="49"/>
      <c r="G32" s="42"/>
      <c r="H32" s="52"/>
    </row>
    <row r="33">
      <c r="A33" s="106"/>
      <c r="B33" s="107"/>
      <c r="C33" s="107"/>
      <c r="D33" s="108"/>
      <c r="E33" s="107"/>
      <c r="F33" s="109"/>
      <c r="G33" s="110"/>
      <c r="H33" s="52"/>
    </row>
    <row r="34">
      <c r="A34" s="106"/>
      <c r="B34" s="112"/>
      <c r="C34" s="107"/>
      <c r="D34" s="113"/>
      <c r="E34" s="112"/>
      <c r="F34" s="114"/>
      <c r="G34" s="115"/>
      <c r="H34" s="116"/>
    </row>
    <row r="35">
      <c r="A35" s="106"/>
      <c r="B35" s="112"/>
      <c r="C35" s="107"/>
      <c r="D35" s="113"/>
      <c r="E35" s="112"/>
      <c r="F35" s="114"/>
      <c r="G35" s="115"/>
      <c r="H35" s="116"/>
    </row>
    <row r="36">
      <c r="A36" s="106"/>
      <c r="B36" s="112"/>
      <c r="C36" s="107"/>
      <c r="D36" s="113"/>
      <c r="E36" s="112"/>
      <c r="F36" s="114"/>
      <c r="G36" s="115"/>
      <c r="H36" s="116"/>
    </row>
    <row r="37">
      <c r="A37" s="106"/>
      <c r="B37" s="112"/>
      <c r="C37" s="107"/>
      <c r="D37" s="113"/>
      <c r="E37" s="112"/>
      <c r="F37" s="114"/>
      <c r="G37" s="115"/>
      <c r="H37" s="116"/>
    </row>
    <row r="38">
      <c r="A38" s="106"/>
      <c r="B38" s="112"/>
      <c r="C38" s="107"/>
      <c r="D38" s="113"/>
      <c r="E38" s="112"/>
      <c r="F38" s="114"/>
      <c r="G38" s="115"/>
      <c r="H38" s="116"/>
    </row>
    <row r="39">
      <c r="A39" s="106"/>
      <c r="B39" s="112"/>
      <c r="C39" s="107"/>
      <c r="D39" s="113"/>
      <c r="E39" s="112"/>
      <c r="F39" s="114"/>
      <c r="G39" s="115"/>
      <c r="H39" s="116"/>
    </row>
    <row r="40">
      <c r="A40" s="106"/>
      <c r="B40" s="112"/>
      <c r="C40" s="107"/>
      <c r="D40" s="113"/>
      <c r="E40" s="112"/>
      <c r="F40" s="114"/>
      <c r="G40" s="115"/>
      <c r="H40" s="116"/>
    </row>
    <row r="41">
      <c r="A41" s="106"/>
      <c r="B41" s="112"/>
      <c r="C41" s="107"/>
      <c r="D41" s="113"/>
      <c r="E41" s="112"/>
      <c r="F41" s="114"/>
      <c r="G41" s="115"/>
      <c r="H41" s="116"/>
    </row>
    <row r="42">
      <c r="A42" s="106"/>
      <c r="B42" s="112"/>
      <c r="C42" s="107"/>
      <c r="D42" s="113"/>
      <c r="E42" s="112"/>
      <c r="F42" s="114"/>
      <c r="G42" s="115"/>
      <c r="H42" s="116"/>
    </row>
    <row r="43">
      <c r="A43" s="106"/>
      <c r="B43" s="112"/>
      <c r="C43" s="107"/>
      <c r="D43" s="113"/>
      <c r="E43" s="112"/>
      <c r="F43" s="114"/>
      <c r="G43" s="115"/>
      <c r="H43" s="116"/>
    </row>
    <row r="44">
      <c r="A44" s="106"/>
      <c r="B44" s="112"/>
      <c r="C44" s="107"/>
      <c r="D44" s="113"/>
      <c r="E44" s="112"/>
      <c r="F44" s="114"/>
      <c r="G44" s="115"/>
      <c r="H44" s="116"/>
    </row>
    <row r="45">
      <c r="A45" s="106"/>
      <c r="B45" s="112"/>
      <c r="C45" s="107"/>
      <c r="D45" s="113"/>
      <c r="E45" s="112"/>
      <c r="F45" s="114"/>
      <c r="G45" s="115"/>
      <c r="H45" s="116"/>
    </row>
    <row r="46">
      <c r="A46" s="106"/>
      <c r="B46" s="112"/>
      <c r="C46" s="107"/>
      <c r="D46" s="113"/>
      <c r="E46" s="112"/>
      <c r="F46" s="114"/>
      <c r="G46" s="115"/>
      <c r="H46" s="116"/>
    </row>
    <row r="47">
      <c r="A47" s="106"/>
      <c r="B47" s="112"/>
      <c r="C47" s="107"/>
      <c r="D47" s="113"/>
      <c r="E47" s="112"/>
      <c r="F47" s="114"/>
      <c r="G47" s="115"/>
      <c r="H47" s="116"/>
    </row>
    <row r="48">
      <c r="A48" s="106"/>
      <c r="B48" s="112"/>
      <c r="C48" s="107"/>
      <c r="D48" s="113"/>
      <c r="E48" s="112"/>
      <c r="F48" s="114"/>
      <c r="G48" s="115"/>
      <c r="H48" s="116"/>
    </row>
    <row r="49">
      <c r="A49" s="106"/>
      <c r="B49" s="112"/>
      <c r="C49" s="107"/>
      <c r="D49" s="113"/>
      <c r="E49" s="112"/>
      <c r="F49" s="114"/>
      <c r="G49" s="115"/>
      <c r="H49" s="116"/>
    </row>
    <row r="50">
      <c r="A50" s="106"/>
      <c r="B50" s="112"/>
      <c r="C50" s="107"/>
      <c r="D50" s="113"/>
      <c r="E50" s="112"/>
      <c r="F50" s="114"/>
      <c r="G50" s="115"/>
      <c r="H50" s="116"/>
    </row>
    <row r="51">
      <c r="A51" s="106"/>
      <c r="B51" s="112"/>
      <c r="C51" s="107"/>
      <c r="D51" s="113"/>
      <c r="E51" s="112"/>
      <c r="F51" s="114"/>
      <c r="G51" s="115"/>
      <c r="H51" s="116"/>
    </row>
    <row r="52">
      <c r="A52" s="106"/>
      <c r="B52" s="112"/>
      <c r="C52" s="107"/>
      <c r="D52" s="113"/>
      <c r="E52" s="112"/>
      <c r="F52" s="114"/>
      <c r="G52" s="115"/>
      <c r="H52" s="116"/>
    </row>
    <row r="53">
      <c r="A53" s="106"/>
      <c r="B53" s="112"/>
      <c r="C53" s="107"/>
      <c r="D53" s="113"/>
      <c r="E53" s="112"/>
      <c r="F53" s="114"/>
      <c r="G53" s="115"/>
      <c r="H53" s="116"/>
    </row>
    <row r="54">
      <c r="A54" s="106"/>
      <c r="B54" s="112"/>
      <c r="C54" s="107"/>
      <c r="D54" s="113"/>
      <c r="E54" s="112"/>
      <c r="F54" s="114"/>
      <c r="G54" s="115"/>
      <c r="H54" s="116"/>
    </row>
    <row r="55">
      <c r="A55" s="106"/>
      <c r="B55" s="112"/>
      <c r="C55" s="107"/>
      <c r="D55" s="113"/>
      <c r="E55" s="112"/>
      <c r="F55" s="114"/>
      <c r="G55" s="115"/>
      <c r="H55" s="116"/>
    </row>
    <row r="56">
      <c r="A56" s="106"/>
      <c r="B56" s="112"/>
      <c r="C56" s="107"/>
      <c r="D56" s="113"/>
      <c r="E56" s="112"/>
      <c r="F56" s="114"/>
      <c r="G56" s="115"/>
      <c r="H56" s="116"/>
    </row>
    <row r="57">
      <c r="A57" s="106"/>
      <c r="B57" s="112"/>
      <c r="C57" s="107"/>
      <c r="D57" s="113"/>
      <c r="E57" s="112"/>
      <c r="F57" s="114"/>
      <c r="G57" s="115"/>
      <c r="H57" s="116"/>
    </row>
    <row r="58">
      <c r="A58" s="106"/>
      <c r="B58" s="112"/>
      <c r="C58" s="107"/>
      <c r="D58" s="113"/>
      <c r="E58" s="112"/>
      <c r="F58" s="114"/>
      <c r="G58" s="115"/>
      <c r="H58" s="116"/>
    </row>
    <row r="59">
      <c r="A59" s="106"/>
      <c r="B59" s="112"/>
      <c r="C59" s="107"/>
      <c r="D59" s="113"/>
      <c r="E59" s="112"/>
      <c r="F59" s="114"/>
      <c r="G59" s="115"/>
      <c r="H59" s="116"/>
    </row>
    <row r="60">
      <c r="A60" s="106"/>
      <c r="B60" s="112"/>
      <c r="C60" s="107"/>
      <c r="D60" s="113"/>
      <c r="E60" s="112"/>
      <c r="F60" s="114"/>
      <c r="G60" s="115"/>
      <c r="H60" s="116"/>
    </row>
    <row r="61">
      <c r="A61" s="106"/>
      <c r="B61" s="143"/>
      <c r="C61" s="143"/>
      <c r="D61" s="145"/>
      <c r="E61" s="143"/>
      <c r="F61" s="148"/>
      <c r="G61" s="150"/>
      <c r="H61" s="151"/>
    </row>
  </sheetData>
  <dataValidations>
    <dataValidation type="list" allowBlank="1" showErrorMessage="1" sqref="C2:C61">
      <formula1>Config!$K$2:$K$12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7.25"/>
    <col customWidth="1" min="3" max="3" width="49.0"/>
    <col customWidth="1" min="4" max="4" width="7.88"/>
    <col customWidth="1" min="7" max="7" width="11.0"/>
    <col customWidth="1" min="8" max="8" width="11.75"/>
    <col customWidth="1" min="10" max="10" width="13.88"/>
    <col customWidth="1" min="13" max="13" width="14.0"/>
    <col customWidth="1" min="14" max="15" width="9.0"/>
    <col customWidth="1" min="17" max="17" width="19.0"/>
    <col customWidth="1" min="18" max="18" width="40.75"/>
  </cols>
  <sheetData>
    <row r="1">
      <c r="A1" s="131" t="s">
        <v>68</v>
      </c>
      <c r="B1" s="132" t="s">
        <v>69</v>
      </c>
      <c r="C1" s="131" t="s">
        <v>33</v>
      </c>
      <c r="D1" s="132" t="s">
        <v>18</v>
      </c>
      <c r="E1" s="131" t="s">
        <v>35</v>
      </c>
      <c r="F1" s="132" t="s">
        <v>71</v>
      </c>
      <c r="G1" s="139" t="s">
        <v>73</v>
      </c>
      <c r="H1" s="140"/>
      <c r="I1" s="141"/>
      <c r="J1" s="142" t="s">
        <v>74</v>
      </c>
      <c r="K1" s="140"/>
      <c r="L1" s="140"/>
      <c r="M1" s="140"/>
      <c r="N1" s="140"/>
      <c r="O1" s="141"/>
      <c r="P1" s="149" t="s">
        <v>75</v>
      </c>
      <c r="Q1" s="131" t="s">
        <v>13</v>
      </c>
      <c r="R1" s="131" t="s">
        <v>17</v>
      </c>
    </row>
    <row r="2">
      <c r="A2" s="152"/>
      <c r="B2" s="152"/>
      <c r="C2" s="152"/>
      <c r="D2" s="152"/>
      <c r="E2" s="152"/>
      <c r="F2" s="152"/>
      <c r="G2" s="149" t="s">
        <v>76</v>
      </c>
      <c r="H2" s="131" t="s">
        <v>77</v>
      </c>
      <c r="I2" s="131" t="s">
        <v>78</v>
      </c>
      <c r="J2" s="132" t="s">
        <v>79</v>
      </c>
      <c r="K2" s="131" t="s">
        <v>77</v>
      </c>
      <c r="L2" s="131" t="s">
        <v>78</v>
      </c>
      <c r="M2" s="153" t="s">
        <v>80</v>
      </c>
      <c r="N2" s="154" t="s">
        <v>12</v>
      </c>
      <c r="O2" s="155"/>
      <c r="P2" s="152"/>
      <c r="Q2" s="152"/>
      <c r="R2" s="152"/>
    </row>
    <row r="3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7"/>
      <c r="O3" s="158"/>
      <c r="P3" s="156"/>
      <c r="Q3" s="156"/>
      <c r="R3" s="156"/>
    </row>
    <row r="4">
      <c r="A4" s="159"/>
      <c r="B4" s="159"/>
      <c r="C4" s="159"/>
      <c r="D4" s="159"/>
      <c r="E4" s="159"/>
      <c r="F4" s="159"/>
      <c r="G4" s="160"/>
      <c r="H4" s="159"/>
      <c r="I4" s="159"/>
      <c r="J4" s="161"/>
      <c r="K4" s="162"/>
      <c r="L4" s="162"/>
      <c r="M4" s="159"/>
      <c r="N4" s="163"/>
      <c r="O4" s="159"/>
      <c r="P4" s="160"/>
      <c r="Q4" s="164"/>
      <c r="R4" s="159"/>
    </row>
    <row r="5">
      <c r="A5" s="165"/>
      <c r="B5" s="165"/>
      <c r="C5" s="165"/>
      <c r="D5" s="165"/>
      <c r="E5" s="165"/>
      <c r="F5" s="165"/>
      <c r="G5" s="166">
        <f>SUM(G6:G974)</f>
        <v>480</v>
      </c>
      <c r="H5" s="167">
        <f>MIN(H6:H974)</f>
        <v>46230</v>
      </c>
      <c r="I5" s="167">
        <f>MAX(I6:I974)</f>
        <v>46241</v>
      </c>
      <c r="J5" s="166">
        <f>SUM(J6:J974)</f>
        <v>480</v>
      </c>
      <c r="K5" s="167">
        <f>MIN(K6:K974)</f>
        <v>46230</v>
      </c>
      <c r="L5" s="167">
        <f>MAX(L6:L974)</f>
        <v>46234</v>
      </c>
      <c r="M5" s="166">
        <f>SUM(M6:M974)</f>
        <v>249</v>
      </c>
      <c r="N5" s="171" t="str">
        <f>IFERROR(
    TEXT(
        (
            (IF(AND(NOT(ISBLANK(J5)), J5&lt;&gt;0), J5, G5) - P5)
            /
            IF(AND(NOT(ISBLANK(J5)), J5&lt;&gt;0), J5, G5)
        ),
        "0.00%"
    ),
"")</f>
        <v>51,25%</v>
      </c>
      <c r="O5" s="165"/>
      <c r="P5" s="166">
        <f>SUM(P6:P974)</f>
        <v>234</v>
      </c>
      <c r="Q5" s="172"/>
      <c r="R5" s="165"/>
    </row>
    <row r="6">
      <c r="A6" s="173" t="s">
        <v>40</v>
      </c>
      <c r="B6" s="175" t="s">
        <v>93</v>
      </c>
      <c r="C6" s="175" t="s">
        <v>94</v>
      </c>
      <c r="D6" s="176" t="s">
        <v>54</v>
      </c>
      <c r="E6" s="177" t="s">
        <v>95</v>
      </c>
      <c r="F6" s="177" t="s">
        <v>89</v>
      </c>
      <c r="G6" s="178">
        <v>8.0</v>
      </c>
      <c r="H6" s="179">
        <v>46230.0</v>
      </c>
      <c r="I6" s="179">
        <v>46230.0</v>
      </c>
      <c r="J6" s="180">
        <v>8.0</v>
      </c>
      <c r="K6" s="170">
        <v>46230.0</v>
      </c>
      <c r="L6" s="170">
        <v>46230.0</v>
      </c>
      <c r="M6" s="181">
        <v>8.0</v>
      </c>
      <c r="N6" s="182">
        <f t="shared" ref="N6:N41" si="1">IF($G6="","",$M6/MAX($G6,$J6))</f>
        <v>1</v>
      </c>
      <c r="O6" s="183" t="str">
        <f>IFERROR(__xludf.DUMMYFUNCTION("IFERROR(SPARKLINE(N6, {""charttype"",""bar""; ""corlor1"",""gray""; ""max"",1}), )"),"")</f>
        <v/>
      </c>
      <c r="P6" s="184">
        <f t="shared" ref="P6:P41" si="2">if(G6&gt;J6,G6-M6,J6-M6)</f>
        <v>0</v>
      </c>
      <c r="Q6" s="185" t="s">
        <v>96</v>
      </c>
      <c r="R6" s="186"/>
    </row>
    <row r="7">
      <c r="A7" s="111"/>
      <c r="B7" s="187" t="s">
        <v>97</v>
      </c>
      <c r="C7" s="187" t="s">
        <v>98</v>
      </c>
      <c r="D7" s="188" t="s">
        <v>54</v>
      </c>
      <c r="E7" s="189" t="s">
        <v>95</v>
      </c>
      <c r="F7" s="189" t="s">
        <v>89</v>
      </c>
      <c r="G7" s="180">
        <v>8.0</v>
      </c>
      <c r="H7" s="170">
        <v>46231.0</v>
      </c>
      <c r="I7" s="170">
        <v>46231.0</v>
      </c>
      <c r="J7" s="180">
        <v>8.0</v>
      </c>
      <c r="K7" s="170">
        <v>46231.0</v>
      </c>
      <c r="L7" s="170">
        <v>46231.0</v>
      </c>
      <c r="M7" s="190">
        <v>8.0</v>
      </c>
      <c r="N7" s="182">
        <f t="shared" si="1"/>
        <v>1</v>
      </c>
      <c r="O7" s="183" t="str">
        <f>IFERROR(__xludf.DUMMYFUNCTION("IFERROR(SPARKLINE(N7, {""charttype"",""bar""; ""corlor1"",""gray""; ""max"",1}), )"),"")</f>
        <v/>
      </c>
      <c r="P7" s="184">
        <f t="shared" si="2"/>
        <v>0</v>
      </c>
      <c r="Q7" s="185" t="s">
        <v>96</v>
      </c>
      <c r="R7" s="186"/>
    </row>
    <row r="8">
      <c r="A8" s="152"/>
      <c r="B8" s="175" t="s">
        <v>99</v>
      </c>
      <c r="C8" s="175" t="s">
        <v>100</v>
      </c>
      <c r="D8" s="176" t="s">
        <v>62</v>
      </c>
      <c r="E8" s="177" t="s">
        <v>101</v>
      </c>
      <c r="F8" s="177" t="s">
        <v>89</v>
      </c>
      <c r="G8" s="178">
        <v>8.0</v>
      </c>
      <c r="H8" s="179">
        <v>46230.0</v>
      </c>
      <c r="I8" s="179">
        <v>46230.0</v>
      </c>
      <c r="J8" s="180">
        <v>8.0</v>
      </c>
      <c r="K8" s="170">
        <v>46230.0</v>
      </c>
      <c r="L8" s="170">
        <v>46230.0</v>
      </c>
      <c r="M8" s="180">
        <v>8.0</v>
      </c>
      <c r="N8" s="182">
        <f t="shared" si="1"/>
        <v>1</v>
      </c>
      <c r="O8" s="183" t="str">
        <f>IFERROR(__xludf.DUMMYFUNCTION("IFERROR(SPARKLINE(N8, {""charttype"",""bar""; ""corlor1"",""gray""; ""max"",1}), )"),"")</f>
        <v/>
      </c>
      <c r="P8" s="184">
        <f t="shared" si="2"/>
        <v>0</v>
      </c>
      <c r="Q8" s="185" t="s">
        <v>96</v>
      </c>
      <c r="R8" s="186"/>
    </row>
    <row r="9">
      <c r="A9" s="152"/>
      <c r="B9" s="175" t="s">
        <v>106</v>
      </c>
      <c r="C9" s="175" t="s">
        <v>107</v>
      </c>
      <c r="D9" s="176" t="s">
        <v>62</v>
      </c>
      <c r="E9" s="177" t="s">
        <v>101</v>
      </c>
      <c r="F9" s="177" t="s">
        <v>89</v>
      </c>
      <c r="G9" s="178">
        <v>8.0</v>
      </c>
      <c r="H9" s="179">
        <v>46231.0</v>
      </c>
      <c r="I9" s="179">
        <v>46231.0</v>
      </c>
      <c r="J9" s="180">
        <v>8.0</v>
      </c>
      <c r="K9" s="170">
        <v>46231.0</v>
      </c>
      <c r="L9" s="170">
        <v>46231.0</v>
      </c>
      <c r="M9" s="180">
        <v>8.0</v>
      </c>
      <c r="N9" s="182">
        <f t="shared" si="1"/>
        <v>1</v>
      </c>
      <c r="O9" s="183" t="str">
        <f>IFERROR(__xludf.DUMMYFUNCTION("IFERROR(SPARKLINE(N9, {""charttype"",""bar""; ""corlor1"",""gray""; ""max"",1}), )"),"")</f>
        <v/>
      </c>
      <c r="P9" s="184">
        <f t="shared" si="2"/>
        <v>0</v>
      </c>
      <c r="Q9" s="185" t="s">
        <v>96</v>
      </c>
      <c r="R9" s="186"/>
    </row>
    <row r="10">
      <c r="A10" s="152"/>
      <c r="B10" s="175" t="s">
        <v>108</v>
      </c>
      <c r="C10" s="175" t="s">
        <v>109</v>
      </c>
      <c r="D10" s="176" t="s">
        <v>54</v>
      </c>
      <c r="E10" s="177" t="s">
        <v>110</v>
      </c>
      <c r="F10" s="177" t="s">
        <v>89</v>
      </c>
      <c r="G10" s="178">
        <v>8.0</v>
      </c>
      <c r="H10" s="179">
        <v>46230.0</v>
      </c>
      <c r="I10" s="179">
        <v>46230.0</v>
      </c>
      <c r="J10" s="180">
        <v>8.0</v>
      </c>
      <c r="K10" s="170">
        <v>46230.0</v>
      </c>
      <c r="L10" s="170">
        <v>46230.0</v>
      </c>
      <c r="M10" s="180">
        <v>8.0</v>
      </c>
      <c r="N10" s="182">
        <f t="shared" si="1"/>
        <v>1</v>
      </c>
      <c r="O10" s="183" t="str">
        <f>IFERROR(__xludf.DUMMYFUNCTION("IFERROR(SPARKLINE(N10, {""charttype"",""bar""; ""corlor1"",""gray""; ""max"",1}), )"),"")</f>
        <v/>
      </c>
      <c r="P10" s="184">
        <f t="shared" si="2"/>
        <v>0</v>
      </c>
      <c r="Q10" s="185" t="s">
        <v>96</v>
      </c>
      <c r="R10" s="186"/>
    </row>
    <row r="11">
      <c r="A11" s="152"/>
      <c r="B11" s="175" t="s">
        <v>111</v>
      </c>
      <c r="C11" s="175" t="s">
        <v>112</v>
      </c>
      <c r="D11" s="176" t="s">
        <v>54</v>
      </c>
      <c r="E11" s="177" t="s">
        <v>110</v>
      </c>
      <c r="F11" s="177" t="s">
        <v>89</v>
      </c>
      <c r="G11" s="178">
        <v>8.0</v>
      </c>
      <c r="H11" s="179">
        <v>46231.0</v>
      </c>
      <c r="I11" s="179">
        <v>46231.0</v>
      </c>
      <c r="J11" s="180">
        <v>8.0</v>
      </c>
      <c r="K11" s="170">
        <v>46231.0</v>
      </c>
      <c r="L11" s="170">
        <v>46231.0</v>
      </c>
      <c r="M11" s="180">
        <v>8.0</v>
      </c>
      <c r="N11" s="182">
        <f t="shared" si="1"/>
        <v>1</v>
      </c>
      <c r="O11" s="183" t="str">
        <f>IFERROR(__xludf.DUMMYFUNCTION("IFERROR(SPARKLINE(N11, {""charttype"",""bar""; ""corlor1"",""gray""; ""max"",1}), )"),"")</f>
        <v/>
      </c>
      <c r="P11" s="184">
        <f t="shared" si="2"/>
        <v>0</v>
      </c>
      <c r="Q11" s="185" t="s">
        <v>96</v>
      </c>
      <c r="R11" s="186"/>
    </row>
    <row r="12">
      <c r="A12" s="152"/>
      <c r="B12" s="175" t="s">
        <v>113</v>
      </c>
      <c r="C12" s="175" t="s">
        <v>114</v>
      </c>
      <c r="D12" s="176" t="s">
        <v>62</v>
      </c>
      <c r="E12" s="177" t="s">
        <v>115</v>
      </c>
      <c r="F12" s="177" t="s">
        <v>89</v>
      </c>
      <c r="G12" s="178">
        <v>8.0</v>
      </c>
      <c r="H12" s="179">
        <v>46230.0</v>
      </c>
      <c r="I12" s="179">
        <v>46230.0</v>
      </c>
      <c r="J12" s="180">
        <v>8.0</v>
      </c>
      <c r="K12" s="170">
        <v>46230.0</v>
      </c>
      <c r="L12" s="170">
        <v>46230.0</v>
      </c>
      <c r="M12" s="180">
        <v>8.0</v>
      </c>
      <c r="N12" s="182">
        <f t="shared" si="1"/>
        <v>1</v>
      </c>
      <c r="O12" s="183" t="str">
        <f>IFERROR(__xludf.DUMMYFUNCTION("IFERROR(SPARKLINE(N12, {""charttype"",""bar""; ""corlor1"",""gray""; ""max"",1}), )"),"")</f>
        <v/>
      </c>
      <c r="P12" s="184">
        <f t="shared" si="2"/>
        <v>0</v>
      </c>
      <c r="Q12" s="185" t="s">
        <v>96</v>
      </c>
      <c r="R12" s="174"/>
    </row>
    <row r="13">
      <c r="A13" s="152"/>
      <c r="B13" s="175" t="s">
        <v>116</v>
      </c>
      <c r="C13" s="175" t="s">
        <v>117</v>
      </c>
      <c r="D13" s="176" t="s">
        <v>62</v>
      </c>
      <c r="E13" s="177" t="s">
        <v>115</v>
      </c>
      <c r="F13" s="177" t="s">
        <v>89</v>
      </c>
      <c r="G13" s="178">
        <v>8.0</v>
      </c>
      <c r="H13" s="179">
        <v>46231.0</v>
      </c>
      <c r="I13" s="179">
        <v>46231.0</v>
      </c>
      <c r="J13" s="180">
        <v>8.0</v>
      </c>
      <c r="K13" s="170">
        <v>46231.0</v>
      </c>
      <c r="L13" s="170">
        <v>46231.0</v>
      </c>
      <c r="M13" s="190">
        <v>8.0</v>
      </c>
      <c r="N13" s="182">
        <f t="shared" si="1"/>
        <v>1</v>
      </c>
      <c r="O13" s="183" t="str">
        <f>IFERROR(__xludf.DUMMYFUNCTION("IFERROR(SPARKLINE(N13, {""charttype"",""bar""; ""corlor1"",""gray""; ""max"",1}), )"),"")</f>
        <v/>
      </c>
      <c r="P13" s="184">
        <f t="shared" si="2"/>
        <v>0</v>
      </c>
      <c r="Q13" s="185" t="s">
        <v>96</v>
      </c>
      <c r="R13" s="174"/>
    </row>
    <row r="14">
      <c r="A14" s="152"/>
      <c r="B14" s="175" t="s">
        <v>118</v>
      </c>
      <c r="C14" s="175" t="s">
        <v>119</v>
      </c>
      <c r="D14" s="176" t="s">
        <v>54</v>
      </c>
      <c r="E14" s="177" t="s">
        <v>120</v>
      </c>
      <c r="F14" s="177" t="s">
        <v>89</v>
      </c>
      <c r="G14" s="178">
        <v>8.0</v>
      </c>
      <c r="H14" s="179">
        <v>46230.0</v>
      </c>
      <c r="I14" s="179">
        <v>46230.0</v>
      </c>
      <c r="J14" s="180">
        <v>8.0</v>
      </c>
      <c r="K14" s="170">
        <v>46230.0</v>
      </c>
      <c r="L14" s="170">
        <v>46230.0</v>
      </c>
      <c r="M14" s="180">
        <v>8.0</v>
      </c>
      <c r="N14" s="182">
        <f t="shared" si="1"/>
        <v>1</v>
      </c>
      <c r="O14" s="183" t="str">
        <f>IFERROR(__xludf.DUMMYFUNCTION("IFERROR(SPARKLINE(N14, {""charttype"",""bar""; ""corlor1"",""gray""; ""max"",1}), )"),"")</f>
        <v/>
      </c>
      <c r="P14" s="184">
        <f t="shared" si="2"/>
        <v>0</v>
      </c>
      <c r="Q14" s="185" t="s">
        <v>96</v>
      </c>
      <c r="R14" s="174"/>
    </row>
    <row r="15">
      <c r="A15" s="152"/>
      <c r="B15" s="175" t="s">
        <v>122</v>
      </c>
      <c r="C15" s="175" t="s">
        <v>125</v>
      </c>
      <c r="D15" s="176" t="s">
        <v>54</v>
      </c>
      <c r="E15" s="177" t="s">
        <v>120</v>
      </c>
      <c r="F15" s="177" t="s">
        <v>89</v>
      </c>
      <c r="G15" s="178">
        <v>8.0</v>
      </c>
      <c r="H15" s="179">
        <v>46231.0</v>
      </c>
      <c r="I15" s="179">
        <v>46231.0</v>
      </c>
      <c r="J15" s="180">
        <v>8.0</v>
      </c>
      <c r="K15" s="170">
        <v>46231.0</v>
      </c>
      <c r="L15" s="170">
        <v>46231.0</v>
      </c>
      <c r="M15" s="180">
        <v>8.0</v>
      </c>
      <c r="N15" s="182">
        <f t="shared" si="1"/>
        <v>1</v>
      </c>
      <c r="O15" s="183" t="str">
        <f>IFERROR(__xludf.DUMMYFUNCTION("IFERROR(SPARKLINE(N15, {""charttype"",""bar""; ""corlor1"",""gray""; ""max"",1}), )"),"")</f>
        <v/>
      </c>
      <c r="P15" s="184">
        <f t="shared" si="2"/>
        <v>0</v>
      </c>
      <c r="Q15" s="185" t="s">
        <v>96</v>
      </c>
      <c r="R15" s="174"/>
    </row>
    <row r="16">
      <c r="A16" s="152"/>
      <c r="B16" s="175" t="s">
        <v>140</v>
      </c>
      <c r="C16" s="175" t="s">
        <v>142</v>
      </c>
      <c r="D16" s="176" t="s">
        <v>62</v>
      </c>
      <c r="E16" s="177" t="s">
        <v>146</v>
      </c>
      <c r="F16" s="177" t="s">
        <v>89</v>
      </c>
      <c r="G16" s="178">
        <v>8.0</v>
      </c>
      <c r="H16" s="179">
        <v>46230.0</v>
      </c>
      <c r="I16" s="179">
        <v>46230.0</v>
      </c>
      <c r="J16" s="180">
        <v>8.0</v>
      </c>
      <c r="K16" s="198">
        <v>46230.0</v>
      </c>
      <c r="L16" s="198">
        <v>46230.0</v>
      </c>
      <c r="M16" s="199">
        <v>8.0</v>
      </c>
      <c r="N16" s="182">
        <f t="shared" si="1"/>
        <v>1</v>
      </c>
      <c r="O16" s="183" t="str">
        <f>IFERROR(__xludf.DUMMYFUNCTION("IFERROR(SPARKLINE(N16, {""charttype"",""bar""; ""corlor1"",""gray""; ""max"",1}), )"),"")</f>
        <v/>
      </c>
      <c r="P16" s="184">
        <f t="shared" si="2"/>
        <v>0</v>
      </c>
      <c r="Q16" s="185" t="s">
        <v>96</v>
      </c>
      <c r="R16" s="174"/>
    </row>
    <row r="17">
      <c r="A17" s="200"/>
      <c r="B17" s="175" t="s">
        <v>163</v>
      </c>
      <c r="C17" s="175" t="s">
        <v>164</v>
      </c>
      <c r="D17" s="176" t="s">
        <v>62</v>
      </c>
      <c r="E17" s="177" t="s">
        <v>146</v>
      </c>
      <c r="F17" s="177" t="s">
        <v>89</v>
      </c>
      <c r="G17" s="178">
        <v>8.0</v>
      </c>
      <c r="H17" s="179">
        <v>46231.0</v>
      </c>
      <c r="I17" s="179">
        <v>46231.0</v>
      </c>
      <c r="J17" s="180">
        <v>8.0</v>
      </c>
      <c r="K17" s="170">
        <v>46231.0</v>
      </c>
      <c r="L17" s="170">
        <v>46231.0</v>
      </c>
      <c r="M17" s="180">
        <v>8.0</v>
      </c>
      <c r="N17" s="182">
        <f t="shared" si="1"/>
        <v>1</v>
      </c>
      <c r="O17" s="183" t="str">
        <f>IFERROR(__xludf.DUMMYFUNCTION("IFERROR(SPARKLINE(N17, {""charttype"",""bar""; ""corlor1"",""gray""; ""max"",1}), )"),"")</f>
        <v/>
      </c>
      <c r="P17" s="184">
        <f t="shared" si="2"/>
        <v>0</v>
      </c>
      <c r="Q17" s="185" t="s">
        <v>96</v>
      </c>
      <c r="R17" s="174"/>
    </row>
    <row r="18">
      <c r="A18" s="173" t="s">
        <v>165</v>
      </c>
      <c r="B18" s="175" t="s">
        <v>166</v>
      </c>
      <c r="C18" s="175" t="s">
        <v>167</v>
      </c>
      <c r="D18" s="176" t="s">
        <v>54</v>
      </c>
      <c r="E18" s="177" t="s">
        <v>95</v>
      </c>
      <c r="F18" s="177" t="s">
        <v>136</v>
      </c>
      <c r="G18" s="178">
        <v>8.0</v>
      </c>
      <c r="H18" s="179">
        <v>46232.0</v>
      </c>
      <c r="I18" s="179">
        <v>46232.0</v>
      </c>
      <c r="J18" s="180">
        <v>8.0</v>
      </c>
      <c r="K18" s="170">
        <v>46232.0</v>
      </c>
      <c r="L18" s="170">
        <v>46232.0</v>
      </c>
      <c r="M18" s="180">
        <v>8.0</v>
      </c>
      <c r="N18" s="182">
        <f t="shared" si="1"/>
        <v>1</v>
      </c>
      <c r="O18" s="183" t="str">
        <f>IFERROR(__xludf.DUMMYFUNCTION("IFERROR(SPARKLINE(N18, {""charttype"",""bar""; ""corlor1"",""gray""; ""max"",1}), )"),"")</f>
        <v/>
      </c>
      <c r="P18" s="184">
        <f t="shared" si="2"/>
        <v>0</v>
      </c>
      <c r="Q18" s="185" t="s">
        <v>96</v>
      </c>
      <c r="R18" s="174"/>
    </row>
    <row r="19">
      <c r="A19" s="152"/>
      <c r="B19" s="175" t="s">
        <v>168</v>
      </c>
      <c r="C19" s="175" t="s">
        <v>169</v>
      </c>
      <c r="D19" s="176" t="s">
        <v>54</v>
      </c>
      <c r="E19" s="177" t="s">
        <v>95</v>
      </c>
      <c r="F19" s="177" t="s">
        <v>136</v>
      </c>
      <c r="G19" s="178">
        <v>8.0</v>
      </c>
      <c r="H19" s="179">
        <v>46233.0</v>
      </c>
      <c r="I19" s="179">
        <v>46233.0</v>
      </c>
      <c r="J19" s="180">
        <v>8.0</v>
      </c>
      <c r="K19" s="170">
        <v>46233.0</v>
      </c>
      <c r="L19" s="170">
        <v>46233.0</v>
      </c>
      <c r="M19" s="180">
        <v>8.0</v>
      </c>
      <c r="N19" s="182">
        <f t="shared" si="1"/>
        <v>1</v>
      </c>
      <c r="O19" s="183" t="str">
        <f>IFERROR(__xludf.DUMMYFUNCTION("IFERROR(SPARKLINE(N19, {""charttype"",""bar""; ""corlor1"",""gray""; ""max"",1}), )"),"")</f>
        <v/>
      </c>
      <c r="P19" s="184">
        <f t="shared" si="2"/>
        <v>0</v>
      </c>
      <c r="Q19" s="185" t="s">
        <v>96</v>
      </c>
      <c r="R19" s="174"/>
    </row>
    <row r="20">
      <c r="A20" s="152"/>
      <c r="B20" s="175" t="s">
        <v>170</v>
      </c>
      <c r="C20" s="175" t="s">
        <v>171</v>
      </c>
      <c r="D20" s="176" t="s">
        <v>54</v>
      </c>
      <c r="E20" s="177" t="s">
        <v>95</v>
      </c>
      <c r="F20" s="177" t="s">
        <v>136</v>
      </c>
      <c r="G20" s="178">
        <v>8.0</v>
      </c>
      <c r="H20" s="179">
        <v>46234.0</v>
      </c>
      <c r="I20" s="179">
        <v>46234.0</v>
      </c>
      <c r="J20" s="180">
        <v>8.0</v>
      </c>
      <c r="K20" s="170">
        <v>46234.0</v>
      </c>
      <c r="L20" s="170">
        <v>46234.0</v>
      </c>
      <c r="M20" s="180">
        <v>8.0</v>
      </c>
      <c r="N20" s="182">
        <f t="shared" si="1"/>
        <v>1</v>
      </c>
      <c r="O20" s="183" t="str">
        <f>IFERROR(__xludf.DUMMYFUNCTION("IFERROR(SPARKLINE(N20, {""charttype"",""bar""; ""corlor1"",""gray""; ""max"",1}), )"),"")</f>
        <v/>
      </c>
      <c r="P20" s="184">
        <f t="shared" si="2"/>
        <v>0</v>
      </c>
      <c r="Q20" s="185" t="s">
        <v>96</v>
      </c>
      <c r="R20" s="174"/>
    </row>
    <row r="21">
      <c r="A21" s="152"/>
      <c r="B21" s="175" t="s">
        <v>172</v>
      </c>
      <c r="C21" s="175" t="s">
        <v>173</v>
      </c>
      <c r="D21" s="176" t="s">
        <v>62</v>
      </c>
      <c r="E21" s="177" t="s">
        <v>101</v>
      </c>
      <c r="F21" s="177" t="s">
        <v>136</v>
      </c>
      <c r="G21" s="178">
        <v>8.0</v>
      </c>
      <c r="H21" s="179">
        <v>46232.0</v>
      </c>
      <c r="I21" s="179">
        <v>46232.0</v>
      </c>
      <c r="J21" s="180">
        <v>8.0</v>
      </c>
      <c r="K21" s="170">
        <v>46232.0</v>
      </c>
      <c r="L21" s="170">
        <v>46232.0</v>
      </c>
      <c r="M21" s="180">
        <v>8.0</v>
      </c>
      <c r="N21" s="182">
        <f t="shared" si="1"/>
        <v>1</v>
      </c>
      <c r="O21" s="183" t="str">
        <f>IFERROR(__xludf.DUMMYFUNCTION("IFERROR(SPARKLINE(N21, {""charttype"",""bar""; ""corlor1"",""gray""; ""max"",1}), )"),"")</f>
        <v/>
      </c>
      <c r="P21" s="184">
        <f t="shared" si="2"/>
        <v>0</v>
      </c>
      <c r="Q21" s="185" t="s">
        <v>96</v>
      </c>
      <c r="R21" s="174"/>
    </row>
    <row r="22">
      <c r="A22" s="152"/>
      <c r="B22" s="175" t="s">
        <v>174</v>
      </c>
      <c r="C22" s="175" t="s">
        <v>175</v>
      </c>
      <c r="D22" s="176" t="s">
        <v>62</v>
      </c>
      <c r="E22" s="177" t="s">
        <v>101</v>
      </c>
      <c r="F22" s="177" t="s">
        <v>136</v>
      </c>
      <c r="G22" s="178">
        <v>8.0</v>
      </c>
      <c r="H22" s="179">
        <v>46233.0</v>
      </c>
      <c r="I22" s="179">
        <v>46233.0</v>
      </c>
      <c r="J22" s="180">
        <v>8.0</v>
      </c>
      <c r="K22" s="170">
        <v>46233.0</v>
      </c>
      <c r="L22" s="170">
        <v>46233.0</v>
      </c>
      <c r="M22" s="180">
        <v>8.0</v>
      </c>
      <c r="N22" s="182">
        <f t="shared" si="1"/>
        <v>1</v>
      </c>
      <c r="O22" s="183" t="str">
        <f>IFERROR(__xludf.DUMMYFUNCTION("IFERROR(SPARKLINE(N22, {""charttype"",""bar""; ""corlor1"",""gray""; ""max"",1}), )"),"")</f>
        <v/>
      </c>
      <c r="P22" s="184">
        <f t="shared" si="2"/>
        <v>0</v>
      </c>
      <c r="Q22" s="185" t="s">
        <v>96</v>
      </c>
      <c r="R22" s="174"/>
    </row>
    <row r="23">
      <c r="A23" s="152"/>
      <c r="B23" s="175" t="s">
        <v>176</v>
      </c>
      <c r="C23" s="175" t="s">
        <v>177</v>
      </c>
      <c r="D23" s="176" t="s">
        <v>62</v>
      </c>
      <c r="E23" s="177" t="s">
        <v>101</v>
      </c>
      <c r="F23" s="177" t="s">
        <v>136</v>
      </c>
      <c r="G23" s="178">
        <v>8.0</v>
      </c>
      <c r="H23" s="179">
        <v>46234.0</v>
      </c>
      <c r="I23" s="179">
        <v>46234.0</v>
      </c>
      <c r="J23" s="180">
        <v>8.0</v>
      </c>
      <c r="K23" s="170">
        <v>46234.0</v>
      </c>
      <c r="L23" s="170">
        <v>46234.0</v>
      </c>
      <c r="M23" s="180">
        <v>8.0</v>
      </c>
      <c r="N23" s="182">
        <f t="shared" si="1"/>
        <v>1</v>
      </c>
      <c r="O23" s="183" t="str">
        <f>IFERROR(__xludf.DUMMYFUNCTION("IFERROR(SPARKLINE(N23, {""charttype"",""bar""; ""corlor1"",""gray""; ""max"",1}), )"),"")</f>
        <v/>
      </c>
      <c r="P23" s="184">
        <f t="shared" si="2"/>
        <v>0</v>
      </c>
      <c r="Q23" s="185" t="s">
        <v>96</v>
      </c>
      <c r="R23" s="174"/>
    </row>
    <row r="24">
      <c r="A24" s="152"/>
      <c r="B24" s="175" t="s">
        <v>178</v>
      </c>
      <c r="C24" s="175" t="s">
        <v>179</v>
      </c>
      <c r="D24" s="176" t="s">
        <v>54</v>
      </c>
      <c r="E24" s="177" t="s">
        <v>110</v>
      </c>
      <c r="F24" s="177" t="s">
        <v>136</v>
      </c>
      <c r="G24" s="178">
        <v>8.0</v>
      </c>
      <c r="H24" s="179">
        <v>46232.0</v>
      </c>
      <c r="I24" s="179">
        <v>46232.0</v>
      </c>
      <c r="J24" s="180">
        <v>8.0</v>
      </c>
      <c r="K24" s="170">
        <v>46232.0</v>
      </c>
      <c r="L24" s="170">
        <v>46232.0</v>
      </c>
      <c r="M24" s="180">
        <v>8.0</v>
      </c>
      <c r="N24" s="182">
        <f t="shared" si="1"/>
        <v>1</v>
      </c>
      <c r="O24" s="183" t="str">
        <f>IFERROR(__xludf.DUMMYFUNCTION("IFERROR(SPARKLINE(N24, {""charttype"",""bar""; ""corlor1"",""gray""; ""max"",1}), )"),"")</f>
        <v/>
      </c>
      <c r="P24" s="184">
        <f t="shared" si="2"/>
        <v>0</v>
      </c>
      <c r="Q24" s="185" t="s">
        <v>96</v>
      </c>
      <c r="R24" s="174"/>
    </row>
    <row r="25">
      <c r="A25" s="152"/>
      <c r="B25" s="175" t="s">
        <v>180</v>
      </c>
      <c r="C25" s="175" t="s">
        <v>181</v>
      </c>
      <c r="D25" s="176" t="s">
        <v>54</v>
      </c>
      <c r="E25" s="177" t="s">
        <v>110</v>
      </c>
      <c r="F25" s="177" t="s">
        <v>136</v>
      </c>
      <c r="G25" s="178">
        <v>8.0</v>
      </c>
      <c r="H25" s="179">
        <v>46233.0</v>
      </c>
      <c r="I25" s="179">
        <v>46233.0</v>
      </c>
      <c r="J25" s="180">
        <v>8.0</v>
      </c>
      <c r="K25" s="170">
        <v>46233.0</v>
      </c>
      <c r="L25" s="170">
        <v>46233.0</v>
      </c>
      <c r="M25" s="180">
        <v>8.0</v>
      </c>
      <c r="N25" s="182">
        <f t="shared" si="1"/>
        <v>1</v>
      </c>
      <c r="O25" s="183" t="str">
        <f>IFERROR(__xludf.DUMMYFUNCTION("IFERROR(SPARKLINE(N25, {""charttype"",""bar""; ""corlor1"",""gray""; ""max"",1}), )"),"")</f>
        <v/>
      </c>
      <c r="P25" s="184">
        <f t="shared" si="2"/>
        <v>0</v>
      </c>
      <c r="Q25" s="185" t="s">
        <v>96</v>
      </c>
      <c r="R25" s="174"/>
    </row>
    <row r="26">
      <c r="A26" s="152"/>
      <c r="B26" s="175" t="s">
        <v>182</v>
      </c>
      <c r="C26" s="175" t="s">
        <v>183</v>
      </c>
      <c r="D26" s="176" t="s">
        <v>54</v>
      </c>
      <c r="E26" s="177" t="s">
        <v>110</v>
      </c>
      <c r="F26" s="177" t="s">
        <v>136</v>
      </c>
      <c r="G26" s="178">
        <v>8.0</v>
      </c>
      <c r="H26" s="179">
        <v>46234.0</v>
      </c>
      <c r="I26" s="179">
        <v>46234.0</v>
      </c>
      <c r="J26" s="180">
        <v>8.0</v>
      </c>
      <c r="K26" s="170">
        <v>46234.0</v>
      </c>
      <c r="L26" s="170">
        <v>46234.0</v>
      </c>
      <c r="M26" s="180">
        <v>8.0</v>
      </c>
      <c r="N26" s="182">
        <f t="shared" si="1"/>
        <v>1</v>
      </c>
      <c r="O26" s="183" t="str">
        <f>IFERROR(__xludf.DUMMYFUNCTION("IFERROR(SPARKLINE(N26, {""charttype"",""bar""; ""corlor1"",""gray""; ""max"",1}), )"),"")</f>
        <v/>
      </c>
      <c r="P26" s="184">
        <f t="shared" si="2"/>
        <v>0</v>
      </c>
      <c r="Q26" s="185" t="s">
        <v>96</v>
      </c>
      <c r="R26" s="174"/>
    </row>
    <row r="27">
      <c r="A27" s="152"/>
      <c r="B27" s="175" t="s">
        <v>184</v>
      </c>
      <c r="C27" s="175" t="s">
        <v>185</v>
      </c>
      <c r="D27" s="176" t="s">
        <v>62</v>
      </c>
      <c r="E27" s="177" t="s">
        <v>115</v>
      </c>
      <c r="F27" s="177" t="s">
        <v>136</v>
      </c>
      <c r="G27" s="178">
        <v>8.0</v>
      </c>
      <c r="H27" s="179">
        <v>46232.0</v>
      </c>
      <c r="I27" s="179">
        <v>46232.0</v>
      </c>
      <c r="J27" s="180">
        <v>8.0</v>
      </c>
      <c r="K27" s="170">
        <v>46232.0</v>
      </c>
      <c r="L27" s="170">
        <v>46232.0</v>
      </c>
      <c r="M27" s="180">
        <v>8.0</v>
      </c>
      <c r="N27" s="182">
        <f t="shared" si="1"/>
        <v>1</v>
      </c>
      <c r="O27" s="183" t="str">
        <f>IFERROR(__xludf.DUMMYFUNCTION("IFERROR(SPARKLINE(N27, {""charttype"",""bar""; ""corlor1"",""gray""; ""max"",1}), )"),"")</f>
        <v/>
      </c>
      <c r="P27" s="184">
        <f t="shared" si="2"/>
        <v>0</v>
      </c>
      <c r="Q27" s="185" t="s">
        <v>96</v>
      </c>
      <c r="R27" s="174"/>
    </row>
    <row r="28">
      <c r="A28" s="152"/>
      <c r="B28" s="175" t="s">
        <v>186</v>
      </c>
      <c r="C28" s="175" t="s">
        <v>187</v>
      </c>
      <c r="D28" s="176" t="s">
        <v>62</v>
      </c>
      <c r="E28" s="177" t="s">
        <v>115</v>
      </c>
      <c r="F28" s="177" t="s">
        <v>136</v>
      </c>
      <c r="G28" s="178">
        <v>8.0</v>
      </c>
      <c r="H28" s="179">
        <v>46233.0</v>
      </c>
      <c r="I28" s="179">
        <v>46233.0</v>
      </c>
      <c r="J28" s="180">
        <v>8.0</v>
      </c>
      <c r="K28" s="170">
        <v>46233.0</v>
      </c>
      <c r="L28" s="170">
        <v>46233.0</v>
      </c>
      <c r="M28" s="180">
        <v>8.0</v>
      </c>
      <c r="N28" s="182">
        <f t="shared" si="1"/>
        <v>1</v>
      </c>
      <c r="O28" s="183" t="str">
        <f>IFERROR(__xludf.DUMMYFUNCTION("IFERROR(SPARKLINE(N28, {""charttype"",""bar""; ""corlor1"",""gray""; ""max"",1}), )"),"")</f>
        <v/>
      </c>
      <c r="P28" s="184">
        <f t="shared" si="2"/>
        <v>0</v>
      </c>
      <c r="Q28" s="185" t="s">
        <v>96</v>
      </c>
      <c r="R28" s="174"/>
    </row>
    <row r="29">
      <c r="A29" s="152"/>
      <c r="B29" s="175" t="s">
        <v>188</v>
      </c>
      <c r="C29" s="175" t="s">
        <v>189</v>
      </c>
      <c r="D29" s="176" t="s">
        <v>62</v>
      </c>
      <c r="E29" s="177" t="s">
        <v>115</v>
      </c>
      <c r="F29" s="177" t="s">
        <v>136</v>
      </c>
      <c r="G29" s="178">
        <v>8.0</v>
      </c>
      <c r="H29" s="179">
        <v>46234.0</v>
      </c>
      <c r="I29" s="179">
        <v>46234.0</v>
      </c>
      <c r="J29" s="180">
        <v>8.0</v>
      </c>
      <c r="K29" s="170">
        <v>46234.0</v>
      </c>
      <c r="L29" s="170">
        <v>46234.0</v>
      </c>
      <c r="M29" s="180">
        <v>8.0</v>
      </c>
      <c r="N29" s="182">
        <f t="shared" si="1"/>
        <v>1</v>
      </c>
      <c r="O29" s="183" t="str">
        <f>IFERROR(__xludf.DUMMYFUNCTION("IFERROR(SPARKLINE(N29, {""charttype"",""bar""; ""corlor1"",""gray""; ""max"",1}), )"),"")</f>
        <v/>
      </c>
      <c r="P29" s="184">
        <f t="shared" si="2"/>
        <v>0</v>
      </c>
      <c r="Q29" s="185" t="s">
        <v>96</v>
      </c>
      <c r="R29" s="174"/>
    </row>
    <row r="30">
      <c r="A30" s="152"/>
      <c r="B30" s="175" t="s">
        <v>190</v>
      </c>
      <c r="C30" s="175" t="s">
        <v>191</v>
      </c>
      <c r="D30" s="176" t="s">
        <v>54</v>
      </c>
      <c r="E30" s="177" t="s">
        <v>120</v>
      </c>
      <c r="F30" s="177" t="s">
        <v>136</v>
      </c>
      <c r="G30" s="178">
        <v>8.0</v>
      </c>
      <c r="H30" s="179">
        <v>46232.0</v>
      </c>
      <c r="I30" s="179">
        <v>46232.0</v>
      </c>
      <c r="J30" s="180">
        <v>8.0</v>
      </c>
      <c r="K30" s="170">
        <v>46232.0</v>
      </c>
      <c r="L30" s="170">
        <v>46232.0</v>
      </c>
      <c r="M30" s="180">
        <v>8.0</v>
      </c>
      <c r="N30" s="182">
        <f t="shared" si="1"/>
        <v>1</v>
      </c>
      <c r="O30" s="183" t="str">
        <f>IFERROR(__xludf.DUMMYFUNCTION("IFERROR(SPARKLINE(N30, {""charttype"",""bar""; ""corlor1"",""gray""; ""max"",1}), )"),"")</f>
        <v/>
      </c>
      <c r="P30" s="184">
        <f t="shared" si="2"/>
        <v>0</v>
      </c>
      <c r="Q30" s="185" t="s">
        <v>96</v>
      </c>
      <c r="R30" s="174"/>
    </row>
    <row r="31">
      <c r="A31" s="152"/>
      <c r="B31" s="175" t="s">
        <v>192</v>
      </c>
      <c r="C31" s="175" t="s">
        <v>193</v>
      </c>
      <c r="D31" s="176" t="s">
        <v>54</v>
      </c>
      <c r="E31" s="177" t="s">
        <v>120</v>
      </c>
      <c r="F31" s="177" t="s">
        <v>136</v>
      </c>
      <c r="G31" s="178">
        <v>8.0</v>
      </c>
      <c r="H31" s="179">
        <v>46233.0</v>
      </c>
      <c r="I31" s="179">
        <v>46233.0</v>
      </c>
      <c r="J31" s="180">
        <v>8.0</v>
      </c>
      <c r="K31" s="170">
        <v>46233.0</v>
      </c>
      <c r="L31" s="170">
        <v>46233.0</v>
      </c>
      <c r="M31" s="180">
        <v>8.0</v>
      </c>
      <c r="N31" s="182">
        <f t="shared" si="1"/>
        <v>1</v>
      </c>
      <c r="O31" s="183" t="str">
        <f>IFERROR(__xludf.DUMMYFUNCTION("IFERROR(SPARKLINE(N31, {""charttype"",""bar""; ""corlor1"",""gray""; ""max"",1}), )"),"")</f>
        <v/>
      </c>
      <c r="P31" s="184">
        <f t="shared" si="2"/>
        <v>0</v>
      </c>
      <c r="Q31" s="185" t="s">
        <v>96</v>
      </c>
      <c r="R31" s="174"/>
    </row>
    <row r="32">
      <c r="A32" s="152"/>
      <c r="B32" s="175" t="s">
        <v>194</v>
      </c>
      <c r="C32" s="175" t="s">
        <v>195</v>
      </c>
      <c r="D32" s="176" t="s">
        <v>54</v>
      </c>
      <c r="E32" s="177" t="s">
        <v>120</v>
      </c>
      <c r="F32" s="177" t="s">
        <v>136</v>
      </c>
      <c r="G32" s="178">
        <v>8.0</v>
      </c>
      <c r="H32" s="179">
        <v>46234.0</v>
      </c>
      <c r="I32" s="179">
        <v>46234.0</v>
      </c>
      <c r="J32" s="180">
        <v>8.0</v>
      </c>
      <c r="K32" s="170">
        <v>46234.0</v>
      </c>
      <c r="L32" s="170">
        <v>46234.0</v>
      </c>
      <c r="M32" s="180">
        <v>8.0</v>
      </c>
      <c r="N32" s="182">
        <f t="shared" si="1"/>
        <v>1</v>
      </c>
      <c r="O32" s="183" t="str">
        <f>IFERROR(__xludf.DUMMYFUNCTION("IFERROR(SPARKLINE(N32, {""charttype"",""bar""; ""corlor1"",""gray""; ""max"",1}), )"),"")</f>
        <v/>
      </c>
      <c r="P32" s="184">
        <f t="shared" si="2"/>
        <v>0</v>
      </c>
      <c r="Q32" s="185" t="s">
        <v>96</v>
      </c>
      <c r="R32" s="174"/>
    </row>
    <row r="33">
      <c r="A33" s="152"/>
      <c r="B33" s="175" t="s">
        <v>196</v>
      </c>
      <c r="C33" s="175" t="s">
        <v>197</v>
      </c>
      <c r="D33" s="176" t="s">
        <v>62</v>
      </c>
      <c r="E33" s="177" t="s">
        <v>146</v>
      </c>
      <c r="F33" s="177" t="s">
        <v>136</v>
      </c>
      <c r="G33" s="178">
        <v>8.0</v>
      </c>
      <c r="H33" s="179">
        <v>46232.0</v>
      </c>
      <c r="I33" s="179">
        <v>46232.0</v>
      </c>
      <c r="J33" s="180">
        <v>8.0</v>
      </c>
      <c r="K33" s="170">
        <v>46232.0</v>
      </c>
      <c r="L33" s="170">
        <v>46232.0</v>
      </c>
      <c r="M33" s="180">
        <v>8.0</v>
      </c>
      <c r="N33" s="182">
        <f t="shared" si="1"/>
        <v>1</v>
      </c>
      <c r="O33" s="183" t="str">
        <f>IFERROR(__xludf.DUMMYFUNCTION("IFERROR(SPARKLINE(N33, {""charttype"",""bar""; ""corlor1"",""gray""; ""max"",1}), )"),"")</f>
        <v/>
      </c>
      <c r="P33" s="184">
        <f t="shared" si="2"/>
        <v>0</v>
      </c>
      <c r="Q33" s="185" t="s">
        <v>96</v>
      </c>
      <c r="R33" s="174"/>
    </row>
    <row r="34">
      <c r="A34" s="152"/>
      <c r="B34" s="175" t="s">
        <v>198</v>
      </c>
      <c r="C34" s="175" t="s">
        <v>199</v>
      </c>
      <c r="D34" s="176" t="s">
        <v>62</v>
      </c>
      <c r="E34" s="177" t="s">
        <v>146</v>
      </c>
      <c r="F34" s="177" t="s">
        <v>136</v>
      </c>
      <c r="G34" s="178">
        <v>8.0</v>
      </c>
      <c r="H34" s="179">
        <v>46233.0</v>
      </c>
      <c r="I34" s="179">
        <v>46233.0</v>
      </c>
      <c r="J34" s="180">
        <v>8.0</v>
      </c>
      <c r="K34" s="170">
        <v>46233.0</v>
      </c>
      <c r="L34" s="170">
        <v>46233.0</v>
      </c>
      <c r="M34" s="180">
        <v>8.0</v>
      </c>
      <c r="N34" s="182">
        <f t="shared" si="1"/>
        <v>1</v>
      </c>
      <c r="O34" s="183" t="str">
        <f>IFERROR(__xludf.DUMMYFUNCTION("IFERROR(SPARKLINE(N34, {""charttype"",""bar""; ""corlor1"",""gray""; ""max"",1}), )"),"")</f>
        <v/>
      </c>
      <c r="P34" s="184">
        <f t="shared" si="2"/>
        <v>0</v>
      </c>
      <c r="Q34" s="185" t="s">
        <v>96</v>
      </c>
      <c r="R34" s="174"/>
    </row>
    <row r="35">
      <c r="A35" s="200"/>
      <c r="B35" s="175" t="s">
        <v>200</v>
      </c>
      <c r="C35" s="175" t="s">
        <v>201</v>
      </c>
      <c r="D35" s="176" t="s">
        <v>62</v>
      </c>
      <c r="E35" s="177" t="s">
        <v>146</v>
      </c>
      <c r="F35" s="177" t="s">
        <v>136</v>
      </c>
      <c r="G35" s="178">
        <v>8.0</v>
      </c>
      <c r="H35" s="179">
        <v>46234.0</v>
      </c>
      <c r="I35" s="179">
        <v>46234.0</v>
      </c>
      <c r="J35" s="180">
        <v>8.0</v>
      </c>
      <c r="K35" s="170">
        <v>46234.0</v>
      </c>
      <c r="L35" s="170">
        <v>46234.0</v>
      </c>
      <c r="M35" s="180">
        <v>8.0</v>
      </c>
      <c r="N35" s="182">
        <f t="shared" si="1"/>
        <v>1</v>
      </c>
      <c r="O35" s="183" t="str">
        <f>IFERROR(__xludf.DUMMYFUNCTION("IFERROR(SPARKLINE(N35, {""charttype"",""bar""; ""corlor1"",""gray""; ""max"",1}), )"),"")</f>
        <v/>
      </c>
      <c r="P35" s="184">
        <f t="shared" si="2"/>
        <v>0</v>
      </c>
      <c r="Q35" s="185" t="s">
        <v>96</v>
      </c>
      <c r="R35" s="174"/>
    </row>
    <row r="36">
      <c r="A36" s="173" t="s">
        <v>53</v>
      </c>
      <c r="B36" s="175" t="s">
        <v>202</v>
      </c>
      <c r="C36" s="201" t="s">
        <v>203</v>
      </c>
      <c r="D36" s="176" t="s">
        <v>54</v>
      </c>
      <c r="E36" s="177" t="s">
        <v>95</v>
      </c>
      <c r="F36" s="177" t="s">
        <v>141</v>
      </c>
      <c r="G36" s="178">
        <v>8.0</v>
      </c>
      <c r="H36" s="179">
        <v>46237.0</v>
      </c>
      <c r="I36" s="179">
        <v>46237.0</v>
      </c>
      <c r="J36" s="180">
        <v>8.0</v>
      </c>
      <c r="K36" s="170">
        <v>46237.0</v>
      </c>
      <c r="L36" s="170"/>
      <c r="M36" s="181">
        <v>3.0</v>
      </c>
      <c r="N36" s="182">
        <f t="shared" si="1"/>
        <v>0.375</v>
      </c>
      <c r="O36" s="202" t="str">
        <f>IFERROR(__xludf.DUMMYFUNCTION("IFERROR(SPARKLINE(N36, {""charttype"",""bar""; ""corlor1"",""gray""; ""max"",1}), )"),"")</f>
        <v/>
      </c>
      <c r="P36" s="184">
        <f t="shared" si="2"/>
        <v>5</v>
      </c>
      <c r="Q36" s="185" t="s">
        <v>38</v>
      </c>
      <c r="R36" s="174"/>
    </row>
    <row r="37">
      <c r="A37" s="152"/>
      <c r="B37" s="175" t="s">
        <v>204</v>
      </c>
      <c r="C37" s="201" t="s">
        <v>205</v>
      </c>
      <c r="D37" s="176" t="s">
        <v>54</v>
      </c>
      <c r="E37" s="177" t="s">
        <v>95</v>
      </c>
      <c r="F37" s="177" t="s">
        <v>141</v>
      </c>
      <c r="G37" s="178">
        <v>8.0</v>
      </c>
      <c r="H37" s="179">
        <v>46238.0</v>
      </c>
      <c r="I37" s="179">
        <v>46238.0</v>
      </c>
      <c r="J37" s="180">
        <v>8.0</v>
      </c>
      <c r="K37" s="170"/>
      <c r="L37" s="170"/>
      <c r="M37" s="181"/>
      <c r="N37" s="182">
        <f t="shared" si="1"/>
        <v>0</v>
      </c>
      <c r="O37" s="202" t="str">
        <f>IFERROR(__xludf.DUMMYFUNCTION("IFERROR(SPARKLINE(N37, {""charttype"",""bar""; ""corlor1"",""gray""; ""max"",1}), )"),"")</f>
        <v/>
      </c>
      <c r="P37" s="184">
        <f t="shared" si="2"/>
        <v>8</v>
      </c>
      <c r="Q37" s="185" t="s">
        <v>46</v>
      </c>
      <c r="R37" s="174"/>
    </row>
    <row r="38">
      <c r="A38" s="152"/>
      <c r="B38" s="175" t="s">
        <v>206</v>
      </c>
      <c r="C38" s="201" t="s">
        <v>207</v>
      </c>
      <c r="D38" s="176" t="s">
        <v>54</v>
      </c>
      <c r="E38" s="177" t="s">
        <v>95</v>
      </c>
      <c r="F38" s="177" t="s">
        <v>141</v>
      </c>
      <c r="G38" s="178">
        <v>8.0</v>
      </c>
      <c r="H38" s="179">
        <v>46239.0</v>
      </c>
      <c r="I38" s="179">
        <v>46239.0</v>
      </c>
      <c r="J38" s="180">
        <v>8.0</v>
      </c>
      <c r="K38" s="170"/>
      <c r="L38" s="170"/>
      <c r="M38" s="181"/>
      <c r="N38" s="182">
        <f t="shared" si="1"/>
        <v>0</v>
      </c>
      <c r="O38" s="202" t="str">
        <f>IFERROR(__xludf.DUMMYFUNCTION("IFERROR(SPARKLINE(N38, {""charttype"",""bar""; ""corlor1"",""gray""; ""max"",1}), )"),"")</f>
        <v/>
      </c>
      <c r="P38" s="184">
        <f t="shared" si="2"/>
        <v>8</v>
      </c>
      <c r="Q38" s="185" t="s">
        <v>46</v>
      </c>
      <c r="R38" s="174"/>
    </row>
    <row r="39">
      <c r="A39" s="152"/>
      <c r="B39" s="175" t="s">
        <v>208</v>
      </c>
      <c r="C39" s="201" t="s">
        <v>209</v>
      </c>
      <c r="D39" s="176" t="s">
        <v>62</v>
      </c>
      <c r="E39" s="177" t="s">
        <v>101</v>
      </c>
      <c r="F39" s="177" t="s">
        <v>141</v>
      </c>
      <c r="G39" s="178">
        <v>8.0</v>
      </c>
      <c r="H39" s="179">
        <v>46237.0</v>
      </c>
      <c r="I39" s="179">
        <v>46237.0</v>
      </c>
      <c r="J39" s="180">
        <v>8.0</v>
      </c>
      <c r="K39" s="170">
        <v>46237.0</v>
      </c>
      <c r="L39" s="170"/>
      <c r="M39" s="181">
        <v>3.0</v>
      </c>
      <c r="N39" s="182">
        <f t="shared" si="1"/>
        <v>0.375</v>
      </c>
      <c r="O39" s="202" t="str">
        <f>IFERROR(__xludf.DUMMYFUNCTION("IFERROR(SPARKLINE(N39, {""charttype"",""bar""; ""corlor1"",""gray""; ""max"",1}), )"),"")</f>
        <v/>
      </c>
      <c r="P39" s="184">
        <f t="shared" si="2"/>
        <v>5</v>
      </c>
      <c r="Q39" s="185" t="s">
        <v>38</v>
      </c>
      <c r="R39" s="174"/>
    </row>
    <row r="40">
      <c r="A40" s="152"/>
      <c r="B40" s="175" t="s">
        <v>210</v>
      </c>
      <c r="C40" s="201" t="s">
        <v>211</v>
      </c>
      <c r="D40" s="176" t="s">
        <v>62</v>
      </c>
      <c r="E40" s="177" t="s">
        <v>101</v>
      </c>
      <c r="F40" s="177" t="s">
        <v>141</v>
      </c>
      <c r="G40" s="178">
        <v>8.0</v>
      </c>
      <c r="H40" s="179">
        <v>46238.0</v>
      </c>
      <c r="I40" s="179">
        <v>46238.0</v>
      </c>
      <c r="J40" s="180">
        <v>8.0</v>
      </c>
      <c r="K40" s="170"/>
      <c r="L40" s="170"/>
      <c r="M40" s="181"/>
      <c r="N40" s="182">
        <f t="shared" si="1"/>
        <v>0</v>
      </c>
      <c r="O40" s="202" t="str">
        <f>IFERROR(__xludf.DUMMYFUNCTION("IFERROR(SPARKLINE(N40, {""charttype"",""bar""; ""corlor1"",""gray""; ""max"",1}), )"),"")</f>
        <v/>
      </c>
      <c r="P40" s="184">
        <f t="shared" si="2"/>
        <v>8</v>
      </c>
      <c r="Q40" s="185" t="s">
        <v>46</v>
      </c>
      <c r="R40" s="174"/>
    </row>
    <row r="41">
      <c r="A41" s="152"/>
      <c r="B41" s="175" t="s">
        <v>212</v>
      </c>
      <c r="C41" s="201" t="s">
        <v>213</v>
      </c>
      <c r="D41" s="176" t="s">
        <v>62</v>
      </c>
      <c r="E41" s="177" t="s">
        <v>101</v>
      </c>
      <c r="F41" s="177" t="s">
        <v>141</v>
      </c>
      <c r="G41" s="178">
        <v>8.0</v>
      </c>
      <c r="H41" s="179">
        <v>46239.0</v>
      </c>
      <c r="I41" s="179">
        <v>46239.0</v>
      </c>
      <c r="J41" s="180">
        <v>8.0</v>
      </c>
      <c r="K41" s="170"/>
      <c r="L41" s="170"/>
      <c r="M41" s="181"/>
      <c r="N41" s="182">
        <f t="shared" si="1"/>
        <v>0</v>
      </c>
      <c r="O41" s="202" t="str">
        <f>IFERROR(__xludf.DUMMYFUNCTION("IFERROR(SPARKLINE(N41, {""charttype"",""bar""; ""corlor1"",""gray""; ""max"",1}), )"),"")</f>
        <v/>
      </c>
      <c r="P41" s="184">
        <f t="shared" si="2"/>
        <v>8</v>
      </c>
      <c r="Q41" s="185" t="s">
        <v>46</v>
      </c>
      <c r="R41" s="174"/>
    </row>
    <row r="42">
      <c r="A42" s="152"/>
      <c r="B42" s="175" t="s">
        <v>214</v>
      </c>
      <c r="C42" s="201" t="s">
        <v>215</v>
      </c>
      <c r="D42" s="176" t="s">
        <v>54</v>
      </c>
      <c r="E42" s="177" t="s">
        <v>110</v>
      </c>
      <c r="F42" s="177" t="s">
        <v>141</v>
      </c>
      <c r="G42" s="203">
        <v>8.0</v>
      </c>
      <c r="H42" s="179">
        <v>46237.0</v>
      </c>
      <c r="I42" s="179">
        <v>46237.0</v>
      </c>
      <c r="J42" s="199">
        <v>8.0</v>
      </c>
      <c r="K42" s="170">
        <v>46237.0</v>
      </c>
      <c r="L42" s="204"/>
      <c r="M42" s="181">
        <v>3.0</v>
      </c>
      <c r="N42" s="182">
        <f>IF($G42="","",$M41/MAX($G42,$J42))</f>
        <v>0</v>
      </c>
      <c r="O42" s="205" t="str">
        <f>IFERROR(__xludf.DUMMYFUNCTION("IFERROR(SPARKLINE(N42, {""charttype"",""bar""; ""corlor1"",""gray""; ""max"",1}), )"),"")</f>
        <v/>
      </c>
      <c r="P42" s="184">
        <f>if(G42&gt;J42,G42-M41,J42-M41)</f>
        <v>8</v>
      </c>
      <c r="Q42" s="185" t="s">
        <v>46</v>
      </c>
      <c r="R42" s="174"/>
    </row>
    <row r="43">
      <c r="A43" s="152"/>
      <c r="B43" s="175" t="s">
        <v>216</v>
      </c>
      <c r="C43" s="201" t="s">
        <v>217</v>
      </c>
      <c r="D43" s="176" t="s">
        <v>54</v>
      </c>
      <c r="E43" s="177" t="s">
        <v>110</v>
      </c>
      <c r="F43" s="177" t="s">
        <v>141</v>
      </c>
      <c r="G43" s="203">
        <v>8.0</v>
      </c>
      <c r="H43" s="179">
        <v>46238.0</v>
      </c>
      <c r="I43" s="179">
        <v>46238.0</v>
      </c>
      <c r="J43" s="199">
        <v>8.0</v>
      </c>
      <c r="K43" s="204"/>
      <c r="L43" s="204"/>
      <c r="M43" s="206"/>
      <c r="N43" s="182">
        <f t="shared" ref="N43:N65" si="3">IF($G43="","",$M43/MAX($G43,$J43))</f>
        <v>0</v>
      </c>
      <c r="O43" s="207" t="str">
        <f>IFERROR(__xludf.DUMMYFUNCTION("IFERROR(SPARKLINE(N43, {""charttype"",""bar""; ""corlor1"",""gray""; ""max"",1}), )"),"")</f>
        <v/>
      </c>
      <c r="P43" s="184">
        <f t="shared" ref="P43:P65" si="4">if(G43&gt;J43,G43-M43,J43-M43)</f>
        <v>8</v>
      </c>
      <c r="Q43" s="185" t="s">
        <v>46</v>
      </c>
      <c r="R43" s="174"/>
    </row>
    <row r="44">
      <c r="A44" s="152"/>
      <c r="B44" s="175" t="s">
        <v>218</v>
      </c>
      <c r="C44" s="201" t="s">
        <v>219</v>
      </c>
      <c r="D44" s="176" t="s">
        <v>54</v>
      </c>
      <c r="E44" s="177" t="s">
        <v>110</v>
      </c>
      <c r="F44" s="177" t="s">
        <v>141</v>
      </c>
      <c r="G44" s="203">
        <v>8.0</v>
      </c>
      <c r="H44" s="179">
        <v>46239.0</v>
      </c>
      <c r="I44" s="179">
        <v>46239.0</v>
      </c>
      <c r="J44" s="199">
        <v>8.0</v>
      </c>
      <c r="K44" s="204"/>
      <c r="L44" s="204"/>
      <c r="M44" s="206"/>
      <c r="N44" s="182">
        <f t="shared" si="3"/>
        <v>0</v>
      </c>
      <c r="O44" s="205" t="str">
        <f>IFERROR(__xludf.DUMMYFUNCTION("IFERROR(SPARKLINE(N44, {""charttype"",""bar""; ""corlor1"",""gray""; ""max"",1}), )"),"")</f>
        <v/>
      </c>
      <c r="P44" s="184">
        <f t="shared" si="4"/>
        <v>8</v>
      </c>
      <c r="Q44" s="185" t="s">
        <v>46</v>
      </c>
      <c r="R44" s="174"/>
    </row>
    <row r="45">
      <c r="A45" s="152"/>
      <c r="B45" s="175" t="s">
        <v>220</v>
      </c>
      <c r="C45" s="201" t="s">
        <v>221</v>
      </c>
      <c r="D45" s="176" t="s">
        <v>62</v>
      </c>
      <c r="E45" s="177" t="s">
        <v>115</v>
      </c>
      <c r="F45" s="177" t="s">
        <v>141</v>
      </c>
      <c r="G45" s="203">
        <v>8.0</v>
      </c>
      <c r="H45" s="179">
        <v>46237.0</v>
      </c>
      <c r="I45" s="179">
        <v>46237.0</v>
      </c>
      <c r="J45" s="199">
        <v>8.0</v>
      </c>
      <c r="K45" s="204"/>
      <c r="L45" s="204"/>
      <c r="M45" s="206"/>
      <c r="N45" s="182">
        <f t="shared" si="3"/>
        <v>0</v>
      </c>
      <c r="O45" s="205" t="str">
        <f>IFERROR(__xludf.DUMMYFUNCTION("IFERROR(SPARKLINE(N45, {""charttype"",""bar""; ""corlor1"",""gray""; ""max"",1}), )"),"")</f>
        <v/>
      </c>
      <c r="P45" s="184">
        <f t="shared" si="4"/>
        <v>8</v>
      </c>
      <c r="Q45" s="185" t="s">
        <v>46</v>
      </c>
      <c r="R45" s="174"/>
    </row>
    <row r="46">
      <c r="A46" s="152"/>
      <c r="B46" s="175" t="s">
        <v>222</v>
      </c>
      <c r="C46" s="201" t="s">
        <v>223</v>
      </c>
      <c r="D46" s="176" t="s">
        <v>62</v>
      </c>
      <c r="E46" s="177" t="s">
        <v>115</v>
      </c>
      <c r="F46" s="177" t="s">
        <v>141</v>
      </c>
      <c r="G46" s="203">
        <v>8.0</v>
      </c>
      <c r="H46" s="179">
        <v>46238.0</v>
      </c>
      <c r="I46" s="179">
        <v>46238.0</v>
      </c>
      <c r="J46" s="199">
        <v>8.0</v>
      </c>
      <c r="K46" s="204"/>
      <c r="L46" s="204"/>
      <c r="M46" s="206"/>
      <c r="N46" s="182">
        <f t="shared" si="3"/>
        <v>0</v>
      </c>
      <c r="O46" s="207" t="str">
        <f>IFERROR(__xludf.DUMMYFUNCTION("IFERROR(SPARKLINE(N46, {""charttype"",""bar""; ""corlor1"",""gray""; ""max"",1}), )"),"")</f>
        <v/>
      </c>
      <c r="P46" s="184">
        <f t="shared" si="4"/>
        <v>8</v>
      </c>
      <c r="Q46" s="185" t="s">
        <v>46</v>
      </c>
      <c r="R46" s="174"/>
    </row>
    <row r="47">
      <c r="A47" s="200"/>
      <c r="B47" s="175" t="s">
        <v>224</v>
      </c>
      <c r="C47" s="201" t="s">
        <v>225</v>
      </c>
      <c r="D47" s="176" t="s">
        <v>62</v>
      </c>
      <c r="E47" s="177" t="s">
        <v>115</v>
      </c>
      <c r="F47" s="177" t="s">
        <v>141</v>
      </c>
      <c r="G47" s="203">
        <v>8.0</v>
      </c>
      <c r="H47" s="179">
        <v>46239.0</v>
      </c>
      <c r="I47" s="179">
        <v>46239.0</v>
      </c>
      <c r="J47" s="199">
        <v>8.0</v>
      </c>
      <c r="K47" s="204"/>
      <c r="L47" s="204"/>
      <c r="M47" s="206"/>
      <c r="N47" s="182">
        <f t="shared" si="3"/>
        <v>0</v>
      </c>
      <c r="O47" s="205" t="str">
        <f>IFERROR(__xludf.DUMMYFUNCTION("IFERROR(SPARKLINE(N47, {""charttype"",""bar""; ""corlor1"",""gray""; ""max"",1}), )"),"")</f>
        <v/>
      </c>
      <c r="P47" s="184">
        <f t="shared" si="4"/>
        <v>8</v>
      </c>
      <c r="Q47" s="185" t="s">
        <v>46</v>
      </c>
      <c r="R47" s="174"/>
    </row>
    <row r="48">
      <c r="A48" s="173" t="s">
        <v>226</v>
      </c>
      <c r="B48" s="175" t="s">
        <v>227</v>
      </c>
      <c r="C48" s="201" t="s">
        <v>228</v>
      </c>
      <c r="D48" s="176" t="s">
        <v>54</v>
      </c>
      <c r="E48" s="177" t="s">
        <v>120</v>
      </c>
      <c r="F48" s="177" t="s">
        <v>141</v>
      </c>
      <c r="G48" s="178">
        <v>8.0</v>
      </c>
      <c r="H48" s="179">
        <v>46237.0</v>
      </c>
      <c r="I48" s="179">
        <v>46237.0</v>
      </c>
      <c r="J48" s="180">
        <v>8.0</v>
      </c>
      <c r="K48" s="170"/>
      <c r="L48" s="170"/>
      <c r="M48" s="181"/>
      <c r="N48" s="182">
        <f t="shared" si="3"/>
        <v>0</v>
      </c>
      <c r="O48" s="202" t="str">
        <f>IFERROR(__xludf.DUMMYFUNCTION("IFERROR(SPARKLINE(N48, {""charttype"",""bar""; ""corlor1"",""gray""; ""max"",1}), )"),"")</f>
        <v/>
      </c>
      <c r="P48" s="184">
        <f t="shared" si="4"/>
        <v>8</v>
      </c>
      <c r="Q48" s="185" t="s">
        <v>46</v>
      </c>
      <c r="R48" s="174"/>
    </row>
    <row r="49">
      <c r="A49" s="152"/>
      <c r="B49" s="175" t="s">
        <v>229</v>
      </c>
      <c r="C49" s="201" t="s">
        <v>230</v>
      </c>
      <c r="D49" s="176" t="s">
        <v>54</v>
      </c>
      <c r="E49" s="177" t="s">
        <v>120</v>
      </c>
      <c r="F49" s="177" t="s">
        <v>141</v>
      </c>
      <c r="G49" s="178">
        <v>8.0</v>
      </c>
      <c r="H49" s="179">
        <v>46238.0</v>
      </c>
      <c r="I49" s="179">
        <v>46238.0</v>
      </c>
      <c r="J49" s="180">
        <v>8.0</v>
      </c>
      <c r="K49" s="170"/>
      <c r="L49" s="170"/>
      <c r="M49" s="181"/>
      <c r="N49" s="182">
        <f t="shared" si="3"/>
        <v>0</v>
      </c>
      <c r="O49" s="202" t="str">
        <f>IFERROR(__xludf.DUMMYFUNCTION("IFERROR(SPARKLINE(N49, {""charttype"",""bar""; ""corlor1"",""gray""; ""max"",1}), )"),"")</f>
        <v/>
      </c>
      <c r="P49" s="184">
        <f t="shared" si="4"/>
        <v>8</v>
      </c>
      <c r="Q49" s="185" t="s">
        <v>46</v>
      </c>
      <c r="R49" s="174"/>
    </row>
    <row r="50">
      <c r="A50" s="152"/>
      <c r="B50" s="175" t="s">
        <v>231</v>
      </c>
      <c r="C50" s="201" t="s">
        <v>232</v>
      </c>
      <c r="D50" s="176" t="s">
        <v>54</v>
      </c>
      <c r="E50" s="177" t="s">
        <v>120</v>
      </c>
      <c r="F50" s="177" t="s">
        <v>141</v>
      </c>
      <c r="G50" s="203">
        <v>8.0</v>
      </c>
      <c r="H50" s="179">
        <v>46239.0</v>
      </c>
      <c r="I50" s="179">
        <v>46239.0</v>
      </c>
      <c r="J50" s="199">
        <v>8.0</v>
      </c>
      <c r="K50" s="204"/>
      <c r="L50" s="204"/>
      <c r="M50" s="206"/>
      <c r="N50" s="182">
        <f t="shared" si="3"/>
        <v>0</v>
      </c>
      <c r="O50" s="208" t="str">
        <f>IFERROR(__xludf.DUMMYFUNCTION("IFERROR(SPARKLINE(N50, {""charttype"",""bar""; ""corlor1"",""gray""; ""max"",1}), )"),"")</f>
        <v/>
      </c>
      <c r="P50" s="184">
        <f t="shared" si="4"/>
        <v>8</v>
      </c>
      <c r="Q50" s="185" t="s">
        <v>46</v>
      </c>
      <c r="R50" s="174"/>
    </row>
    <row r="51">
      <c r="A51" s="152"/>
      <c r="B51" s="175" t="s">
        <v>233</v>
      </c>
      <c r="C51" s="201" t="s">
        <v>234</v>
      </c>
      <c r="D51" s="176" t="s">
        <v>54</v>
      </c>
      <c r="E51" s="177" t="s">
        <v>120</v>
      </c>
      <c r="F51" s="177" t="s">
        <v>141</v>
      </c>
      <c r="G51" s="203">
        <v>8.0</v>
      </c>
      <c r="H51" s="179">
        <v>46240.0</v>
      </c>
      <c r="I51" s="179">
        <v>46240.0</v>
      </c>
      <c r="J51" s="199">
        <v>8.0</v>
      </c>
      <c r="K51" s="204"/>
      <c r="L51" s="204"/>
      <c r="M51" s="206"/>
      <c r="N51" s="182">
        <f t="shared" si="3"/>
        <v>0</v>
      </c>
      <c r="O51" s="208" t="str">
        <f>IFERROR(__xludf.DUMMYFUNCTION("IFERROR(SPARKLINE(N51, {""charttype"",""bar""; ""corlor1"",""gray""; ""max"",1}), )"),"")</f>
        <v/>
      </c>
      <c r="P51" s="184">
        <f t="shared" si="4"/>
        <v>8</v>
      </c>
      <c r="Q51" s="185" t="s">
        <v>46</v>
      </c>
      <c r="R51" s="174"/>
    </row>
    <row r="52">
      <c r="A52" s="152"/>
      <c r="B52" s="175" t="s">
        <v>235</v>
      </c>
      <c r="C52" s="201" t="s">
        <v>236</v>
      </c>
      <c r="D52" s="176" t="s">
        <v>54</v>
      </c>
      <c r="E52" s="177" t="s">
        <v>120</v>
      </c>
      <c r="F52" s="177" t="s">
        <v>141</v>
      </c>
      <c r="G52" s="203">
        <v>8.0</v>
      </c>
      <c r="H52" s="179">
        <v>46241.0</v>
      </c>
      <c r="I52" s="179">
        <v>46241.0</v>
      </c>
      <c r="J52" s="199">
        <v>8.0</v>
      </c>
      <c r="K52" s="204"/>
      <c r="L52" s="204"/>
      <c r="M52" s="206"/>
      <c r="N52" s="182">
        <f t="shared" si="3"/>
        <v>0</v>
      </c>
      <c r="O52" s="208" t="str">
        <f>IFERROR(__xludf.DUMMYFUNCTION("IFERROR(SPARKLINE(N52, {""charttype"",""bar""; ""corlor1"",""gray""; ""max"",1}), )"),"")</f>
        <v/>
      </c>
      <c r="P52" s="184">
        <f t="shared" si="4"/>
        <v>8</v>
      </c>
      <c r="Q52" s="185" t="s">
        <v>46</v>
      </c>
      <c r="R52" s="169"/>
    </row>
    <row r="53">
      <c r="A53" s="152"/>
      <c r="B53" s="175" t="s">
        <v>237</v>
      </c>
      <c r="C53" s="201" t="s">
        <v>238</v>
      </c>
      <c r="D53" s="176" t="s">
        <v>62</v>
      </c>
      <c r="E53" s="177" t="s">
        <v>146</v>
      </c>
      <c r="F53" s="177" t="s">
        <v>141</v>
      </c>
      <c r="G53" s="203">
        <v>8.0</v>
      </c>
      <c r="H53" s="179">
        <v>46237.0</v>
      </c>
      <c r="I53" s="179">
        <v>46237.0</v>
      </c>
      <c r="J53" s="199">
        <v>8.0</v>
      </c>
      <c r="K53" s="204"/>
      <c r="L53" s="204"/>
      <c r="M53" s="206"/>
      <c r="N53" s="182">
        <f t="shared" si="3"/>
        <v>0</v>
      </c>
      <c r="O53" s="208" t="str">
        <f>IFERROR(__xludf.DUMMYFUNCTION("IFERROR(SPARKLINE(N53, {""charttype"",""bar""; ""corlor1"",""gray""; ""max"",1}), )"),"")</f>
        <v/>
      </c>
      <c r="P53" s="184">
        <f t="shared" si="4"/>
        <v>8</v>
      </c>
      <c r="Q53" s="185" t="s">
        <v>46</v>
      </c>
      <c r="R53" s="169"/>
    </row>
    <row r="54">
      <c r="A54" s="152"/>
      <c r="B54" s="175" t="s">
        <v>239</v>
      </c>
      <c r="C54" s="201" t="s">
        <v>240</v>
      </c>
      <c r="D54" s="176" t="s">
        <v>62</v>
      </c>
      <c r="E54" s="177" t="s">
        <v>146</v>
      </c>
      <c r="F54" s="177" t="s">
        <v>141</v>
      </c>
      <c r="G54" s="203">
        <v>8.0</v>
      </c>
      <c r="H54" s="179">
        <v>46238.0</v>
      </c>
      <c r="I54" s="179">
        <v>46238.0</v>
      </c>
      <c r="J54" s="199">
        <v>8.0</v>
      </c>
      <c r="K54" s="204"/>
      <c r="L54" s="204"/>
      <c r="M54" s="206"/>
      <c r="N54" s="182">
        <f t="shared" si="3"/>
        <v>0</v>
      </c>
      <c r="O54" s="208" t="str">
        <f>IFERROR(__xludf.DUMMYFUNCTION("IFERROR(SPARKLINE(N54, {""charttype"",""bar""; ""corlor1"",""gray""; ""max"",1}), )"),"")</f>
        <v/>
      </c>
      <c r="P54" s="184">
        <f t="shared" si="4"/>
        <v>8</v>
      </c>
      <c r="Q54" s="185" t="s">
        <v>46</v>
      </c>
      <c r="R54" s="174"/>
    </row>
    <row r="55">
      <c r="A55" s="152"/>
      <c r="B55" s="175" t="s">
        <v>241</v>
      </c>
      <c r="C55" s="201" t="s">
        <v>242</v>
      </c>
      <c r="D55" s="176" t="s">
        <v>62</v>
      </c>
      <c r="E55" s="177" t="s">
        <v>146</v>
      </c>
      <c r="F55" s="177" t="s">
        <v>141</v>
      </c>
      <c r="G55" s="203">
        <v>8.0</v>
      </c>
      <c r="H55" s="179">
        <v>46239.0</v>
      </c>
      <c r="I55" s="179">
        <v>46239.0</v>
      </c>
      <c r="J55" s="199">
        <v>8.0</v>
      </c>
      <c r="K55" s="204"/>
      <c r="L55" s="204"/>
      <c r="M55" s="206"/>
      <c r="N55" s="182">
        <f t="shared" si="3"/>
        <v>0</v>
      </c>
      <c r="O55" s="208" t="str">
        <f>IFERROR(__xludf.DUMMYFUNCTION("IFERROR(SPARKLINE(N55, {""charttype"",""bar""; ""corlor1"",""gray""; ""max"",1}), )"),"")</f>
        <v/>
      </c>
      <c r="P55" s="184">
        <f t="shared" si="4"/>
        <v>8</v>
      </c>
      <c r="Q55" s="185" t="s">
        <v>46</v>
      </c>
      <c r="R55" s="174"/>
    </row>
    <row r="56">
      <c r="A56" s="152"/>
      <c r="B56" s="175" t="s">
        <v>243</v>
      </c>
      <c r="C56" s="201" t="s">
        <v>244</v>
      </c>
      <c r="D56" s="176" t="s">
        <v>62</v>
      </c>
      <c r="E56" s="177" t="s">
        <v>146</v>
      </c>
      <c r="F56" s="177" t="s">
        <v>141</v>
      </c>
      <c r="G56" s="203">
        <v>8.0</v>
      </c>
      <c r="H56" s="179">
        <v>46240.0</v>
      </c>
      <c r="I56" s="179">
        <v>46240.0</v>
      </c>
      <c r="J56" s="199">
        <v>8.0</v>
      </c>
      <c r="K56" s="204"/>
      <c r="L56" s="204"/>
      <c r="M56" s="206"/>
      <c r="N56" s="182">
        <f t="shared" si="3"/>
        <v>0</v>
      </c>
      <c r="O56" s="208" t="str">
        <f>IFERROR(__xludf.DUMMYFUNCTION("IFERROR(SPARKLINE(N56, {""charttype"",""bar""; ""corlor1"",""gray""; ""max"",1}), )"),"")</f>
        <v/>
      </c>
      <c r="P56" s="184">
        <f t="shared" si="4"/>
        <v>8</v>
      </c>
      <c r="Q56" s="185" t="s">
        <v>46</v>
      </c>
      <c r="R56" s="174"/>
    </row>
    <row r="57">
      <c r="A57" s="200"/>
      <c r="B57" s="175" t="s">
        <v>245</v>
      </c>
      <c r="C57" s="201" t="s">
        <v>246</v>
      </c>
      <c r="D57" s="176" t="s">
        <v>62</v>
      </c>
      <c r="E57" s="177" t="s">
        <v>146</v>
      </c>
      <c r="F57" s="177" t="s">
        <v>141</v>
      </c>
      <c r="G57" s="203">
        <v>8.0</v>
      </c>
      <c r="H57" s="179">
        <v>46241.0</v>
      </c>
      <c r="I57" s="179">
        <v>46241.0</v>
      </c>
      <c r="J57" s="199">
        <v>8.0</v>
      </c>
      <c r="K57" s="204"/>
      <c r="L57" s="204"/>
      <c r="M57" s="206"/>
      <c r="N57" s="182">
        <f t="shared" si="3"/>
        <v>0</v>
      </c>
      <c r="O57" s="208" t="str">
        <f>IFERROR(__xludf.DUMMYFUNCTION("IFERROR(SPARKLINE(N57, {""charttype"",""bar""; ""corlor1"",""gray""; ""max"",1}), )"),"")</f>
        <v/>
      </c>
      <c r="P57" s="184">
        <f t="shared" si="4"/>
        <v>8</v>
      </c>
      <c r="Q57" s="185" t="s">
        <v>46</v>
      </c>
      <c r="R57" s="174"/>
    </row>
    <row r="58">
      <c r="A58" s="173" t="s">
        <v>247</v>
      </c>
      <c r="B58" s="175" t="s">
        <v>248</v>
      </c>
      <c r="C58" s="201" t="s">
        <v>249</v>
      </c>
      <c r="D58" s="176" t="s">
        <v>54</v>
      </c>
      <c r="E58" s="177" t="s">
        <v>95</v>
      </c>
      <c r="F58" s="177" t="s">
        <v>148</v>
      </c>
      <c r="G58" s="203">
        <v>8.0</v>
      </c>
      <c r="H58" s="209">
        <v>46240.0</v>
      </c>
      <c r="I58" s="209">
        <v>46240.0</v>
      </c>
      <c r="J58" s="199">
        <v>8.0</v>
      </c>
      <c r="K58" s="204"/>
      <c r="L58" s="204"/>
      <c r="M58" s="206"/>
      <c r="N58" s="182">
        <f t="shared" si="3"/>
        <v>0</v>
      </c>
      <c r="O58" s="208" t="str">
        <f>IFERROR(__xludf.DUMMYFUNCTION("IFERROR(SPARKLINE(N58, {""charttype"",""bar""; ""corlor1"",""gray""; ""max"",1}), )"),"")</f>
        <v/>
      </c>
      <c r="P58" s="184">
        <f t="shared" si="4"/>
        <v>8</v>
      </c>
      <c r="Q58" s="185" t="s">
        <v>46</v>
      </c>
      <c r="R58" s="174"/>
    </row>
    <row r="59">
      <c r="A59" s="152"/>
      <c r="B59" s="175" t="s">
        <v>250</v>
      </c>
      <c r="C59" s="201" t="s">
        <v>251</v>
      </c>
      <c r="D59" s="176" t="s">
        <v>54</v>
      </c>
      <c r="E59" s="177" t="s">
        <v>95</v>
      </c>
      <c r="F59" s="177" t="s">
        <v>148</v>
      </c>
      <c r="G59" s="203">
        <v>8.0</v>
      </c>
      <c r="H59" s="209">
        <v>46241.0</v>
      </c>
      <c r="I59" s="209">
        <v>46241.0</v>
      </c>
      <c r="J59" s="199">
        <v>8.0</v>
      </c>
      <c r="K59" s="204"/>
      <c r="L59" s="204"/>
      <c r="M59" s="206"/>
      <c r="N59" s="182">
        <f t="shared" si="3"/>
        <v>0</v>
      </c>
      <c r="O59" s="208" t="str">
        <f>IFERROR(__xludf.DUMMYFUNCTION("IFERROR(SPARKLINE(N59, {""charttype"",""bar""; ""corlor1"",""gray""; ""max"",1}), )"),"")</f>
        <v/>
      </c>
      <c r="P59" s="184">
        <f t="shared" si="4"/>
        <v>8</v>
      </c>
      <c r="Q59" s="185" t="s">
        <v>46</v>
      </c>
      <c r="R59" s="174"/>
    </row>
    <row r="60">
      <c r="A60" s="152"/>
      <c r="B60" s="175" t="s">
        <v>252</v>
      </c>
      <c r="C60" s="201" t="s">
        <v>253</v>
      </c>
      <c r="D60" s="176" t="s">
        <v>62</v>
      </c>
      <c r="E60" s="177" t="s">
        <v>101</v>
      </c>
      <c r="F60" s="177" t="s">
        <v>148</v>
      </c>
      <c r="G60" s="203">
        <v>8.0</v>
      </c>
      <c r="H60" s="209">
        <v>46240.0</v>
      </c>
      <c r="I60" s="209">
        <v>46240.0</v>
      </c>
      <c r="J60" s="199">
        <v>8.0</v>
      </c>
      <c r="K60" s="204"/>
      <c r="L60" s="204"/>
      <c r="M60" s="206"/>
      <c r="N60" s="182">
        <f t="shared" si="3"/>
        <v>0</v>
      </c>
      <c r="O60" s="208" t="str">
        <f>IFERROR(__xludf.DUMMYFUNCTION("IFERROR(SPARKLINE(N60, {""charttype"",""bar""; ""corlor1"",""gray""; ""max"",1}), )"),"")</f>
        <v/>
      </c>
      <c r="P60" s="184">
        <f t="shared" si="4"/>
        <v>8</v>
      </c>
      <c r="Q60" s="185" t="s">
        <v>46</v>
      </c>
      <c r="R60" s="174"/>
    </row>
    <row r="61">
      <c r="A61" s="152"/>
      <c r="B61" s="175" t="s">
        <v>254</v>
      </c>
      <c r="C61" s="201" t="s">
        <v>255</v>
      </c>
      <c r="D61" s="176" t="s">
        <v>62</v>
      </c>
      <c r="E61" s="177" t="s">
        <v>101</v>
      </c>
      <c r="F61" s="177" t="s">
        <v>148</v>
      </c>
      <c r="G61" s="203">
        <v>8.0</v>
      </c>
      <c r="H61" s="209">
        <v>46241.0</v>
      </c>
      <c r="I61" s="209">
        <v>46241.0</v>
      </c>
      <c r="J61" s="199">
        <v>8.0</v>
      </c>
      <c r="K61" s="204"/>
      <c r="L61" s="204"/>
      <c r="M61" s="206"/>
      <c r="N61" s="182">
        <f t="shared" si="3"/>
        <v>0</v>
      </c>
      <c r="O61" s="208" t="str">
        <f>IFERROR(__xludf.DUMMYFUNCTION("IFERROR(SPARKLINE(N61, {""charttype"",""bar""; ""corlor1"",""gray""; ""max"",1}), )"),"")</f>
        <v/>
      </c>
      <c r="P61" s="184">
        <f t="shared" si="4"/>
        <v>8</v>
      </c>
      <c r="Q61" s="185" t="s">
        <v>46</v>
      </c>
      <c r="R61" s="174"/>
    </row>
    <row r="62">
      <c r="A62" s="152"/>
      <c r="B62" s="175" t="s">
        <v>256</v>
      </c>
      <c r="C62" s="201" t="s">
        <v>257</v>
      </c>
      <c r="D62" s="176" t="s">
        <v>54</v>
      </c>
      <c r="E62" s="177" t="s">
        <v>110</v>
      </c>
      <c r="F62" s="177" t="s">
        <v>148</v>
      </c>
      <c r="G62" s="203">
        <v>8.0</v>
      </c>
      <c r="H62" s="209">
        <v>46240.0</v>
      </c>
      <c r="I62" s="209">
        <v>46240.0</v>
      </c>
      <c r="J62" s="199">
        <v>8.0</v>
      </c>
      <c r="K62" s="204"/>
      <c r="L62" s="204"/>
      <c r="M62" s="206"/>
      <c r="N62" s="182">
        <f t="shared" si="3"/>
        <v>0</v>
      </c>
      <c r="O62" s="208" t="str">
        <f>IFERROR(__xludf.DUMMYFUNCTION("IFERROR(SPARKLINE(N62, {""charttype"",""bar""; ""corlor1"",""gray""; ""max"",1}), )"),"")</f>
        <v/>
      </c>
      <c r="P62" s="184">
        <f t="shared" si="4"/>
        <v>8</v>
      </c>
      <c r="Q62" s="185" t="s">
        <v>46</v>
      </c>
      <c r="R62" s="174"/>
    </row>
    <row r="63">
      <c r="A63" s="152"/>
      <c r="B63" s="175" t="s">
        <v>258</v>
      </c>
      <c r="C63" s="201" t="s">
        <v>259</v>
      </c>
      <c r="D63" s="176" t="s">
        <v>54</v>
      </c>
      <c r="E63" s="177" t="s">
        <v>110</v>
      </c>
      <c r="F63" s="177" t="s">
        <v>148</v>
      </c>
      <c r="G63" s="203">
        <v>8.0</v>
      </c>
      <c r="H63" s="209">
        <v>46241.0</v>
      </c>
      <c r="I63" s="209">
        <v>46241.0</v>
      </c>
      <c r="J63" s="199">
        <v>8.0</v>
      </c>
      <c r="K63" s="204"/>
      <c r="L63" s="204"/>
      <c r="M63" s="206"/>
      <c r="N63" s="182">
        <f t="shared" si="3"/>
        <v>0</v>
      </c>
      <c r="O63" s="208" t="str">
        <f>IFERROR(__xludf.DUMMYFUNCTION("IFERROR(SPARKLINE(N63, {""charttype"",""bar""; ""corlor1"",""gray""; ""max"",1}), )"),"")</f>
        <v/>
      </c>
      <c r="P63" s="184">
        <f t="shared" si="4"/>
        <v>8</v>
      </c>
      <c r="Q63" s="185" t="s">
        <v>46</v>
      </c>
      <c r="R63" s="174"/>
    </row>
    <row r="64">
      <c r="A64" s="152"/>
      <c r="B64" s="175" t="s">
        <v>260</v>
      </c>
      <c r="C64" s="201" t="s">
        <v>261</v>
      </c>
      <c r="D64" s="176" t="s">
        <v>62</v>
      </c>
      <c r="E64" s="177" t="s">
        <v>115</v>
      </c>
      <c r="F64" s="177" t="s">
        <v>148</v>
      </c>
      <c r="G64" s="203">
        <v>8.0</v>
      </c>
      <c r="H64" s="209">
        <v>46240.0</v>
      </c>
      <c r="I64" s="209">
        <v>46240.0</v>
      </c>
      <c r="J64" s="199">
        <v>8.0</v>
      </c>
      <c r="K64" s="204"/>
      <c r="L64" s="204"/>
      <c r="M64" s="206"/>
      <c r="N64" s="182">
        <f t="shared" si="3"/>
        <v>0</v>
      </c>
      <c r="O64" s="208" t="str">
        <f>IFERROR(__xludf.DUMMYFUNCTION("IFERROR(SPARKLINE(N64, {""charttype"",""bar""; ""corlor1"",""gray""; ""max"",1}), )"),"")</f>
        <v/>
      </c>
      <c r="P64" s="184">
        <f t="shared" si="4"/>
        <v>8</v>
      </c>
      <c r="Q64" s="185" t="s">
        <v>46</v>
      </c>
      <c r="R64" s="174"/>
    </row>
    <row r="65">
      <c r="A65" s="200"/>
      <c r="B65" s="175" t="s">
        <v>262</v>
      </c>
      <c r="C65" s="201" t="s">
        <v>263</v>
      </c>
      <c r="D65" s="176" t="s">
        <v>62</v>
      </c>
      <c r="E65" s="177" t="s">
        <v>115</v>
      </c>
      <c r="F65" s="177" t="s">
        <v>148</v>
      </c>
      <c r="G65" s="203">
        <v>8.0</v>
      </c>
      <c r="H65" s="209">
        <v>46241.0</v>
      </c>
      <c r="I65" s="209">
        <v>46241.0</v>
      </c>
      <c r="J65" s="199">
        <v>8.0</v>
      </c>
      <c r="K65" s="204"/>
      <c r="L65" s="204"/>
      <c r="M65" s="206"/>
      <c r="N65" s="182">
        <f t="shared" si="3"/>
        <v>0</v>
      </c>
      <c r="O65" s="208" t="str">
        <f>IFERROR(__xludf.DUMMYFUNCTION("IFERROR(SPARKLINE(N65, {""charttype"",""bar""; ""corlor1"",""gray""; ""max"",1}), )"),"")</f>
        <v/>
      </c>
      <c r="P65" s="184">
        <f t="shared" si="4"/>
        <v>8</v>
      </c>
      <c r="Q65" s="185" t="s">
        <v>46</v>
      </c>
      <c r="R65" s="174"/>
    </row>
    <row r="66">
      <c r="Q66" s="210"/>
    </row>
    <row r="67">
      <c r="Q67" s="210"/>
    </row>
    <row r="68">
      <c r="Q68" s="210"/>
    </row>
    <row r="69">
      <c r="Q69" s="210"/>
    </row>
    <row r="70">
      <c r="Q70" s="210"/>
    </row>
    <row r="71">
      <c r="Q71" s="210"/>
    </row>
    <row r="72">
      <c r="Q72" s="210"/>
    </row>
    <row r="73">
      <c r="Q73" s="210"/>
    </row>
    <row r="74">
      <c r="Q74" s="210"/>
    </row>
    <row r="75">
      <c r="Q75" s="210"/>
    </row>
    <row r="76">
      <c r="Q76" s="210"/>
    </row>
    <row r="77">
      <c r="Q77" s="210"/>
    </row>
    <row r="78">
      <c r="Q78" s="210"/>
    </row>
    <row r="79">
      <c r="Q79" s="210"/>
    </row>
    <row r="80">
      <c r="Q80" s="210"/>
    </row>
    <row r="81">
      <c r="Q81" s="210"/>
    </row>
    <row r="82">
      <c r="Q82" s="210"/>
    </row>
    <row r="83">
      <c r="Q83" s="210"/>
    </row>
    <row r="84">
      <c r="Q84" s="210"/>
    </row>
    <row r="85">
      <c r="Q85" s="210"/>
    </row>
    <row r="86">
      <c r="Q86" s="210"/>
    </row>
    <row r="87">
      <c r="Q87" s="210"/>
    </row>
    <row r="88">
      <c r="Q88" s="210"/>
    </row>
    <row r="89">
      <c r="Q89" s="210"/>
    </row>
    <row r="90">
      <c r="Q90" s="210"/>
    </row>
    <row r="91">
      <c r="Q91" s="210"/>
    </row>
    <row r="92">
      <c r="Q92" s="210"/>
    </row>
    <row r="93">
      <c r="Q93" s="210"/>
    </row>
    <row r="94">
      <c r="Q94" s="210"/>
    </row>
    <row r="95">
      <c r="Q95" s="210"/>
    </row>
    <row r="96">
      <c r="Q96" s="210"/>
    </row>
    <row r="97">
      <c r="Q97" s="210"/>
    </row>
    <row r="98">
      <c r="Q98" s="210"/>
    </row>
    <row r="99">
      <c r="Q99" s="210"/>
    </row>
    <row r="100">
      <c r="Q100" s="210"/>
    </row>
    <row r="101">
      <c r="Q101" s="210"/>
    </row>
    <row r="102">
      <c r="Q102" s="210"/>
    </row>
    <row r="103">
      <c r="Q103" s="210"/>
    </row>
    <row r="104">
      <c r="Q104" s="210"/>
    </row>
    <row r="105">
      <c r="Q105" s="210"/>
    </row>
    <row r="106">
      <c r="Q106" s="210"/>
    </row>
    <row r="107">
      <c r="Q107" s="210"/>
    </row>
    <row r="108">
      <c r="Q108" s="210"/>
    </row>
    <row r="109">
      <c r="Q109" s="210"/>
    </row>
    <row r="110">
      <c r="Q110" s="210"/>
    </row>
    <row r="111">
      <c r="Q111" s="210"/>
    </row>
    <row r="112">
      <c r="Q112" s="210"/>
    </row>
    <row r="113">
      <c r="Q113" s="210"/>
    </row>
    <row r="114">
      <c r="Q114" s="210"/>
    </row>
    <row r="115">
      <c r="Q115" s="210"/>
    </row>
    <row r="116">
      <c r="Q116" s="210"/>
    </row>
    <row r="117">
      <c r="Q117" s="210"/>
    </row>
    <row r="118">
      <c r="Q118" s="210"/>
    </row>
    <row r="119">
      <c r="Q119" s="210"/>
    </row>
    <row r="120">
      <c r="Q120" s="210"/>
    </row>
    <row r="121">
      <c r="Q121" s="210"/>
    </row>
    <row r="122">
      <c r="Q122" s="210"/>
    </row>
    <row r="123">
      <c r="Q123" s="210"/>
    </row>
    <row r="124">
      <c r="Q124" s="210"/>
    </row>
    <row r="125">
      <c r="Q125" s="210"/>
    </row>
    <row r="126">
      <c r="Q126" s="210"/>
    </row>
    <row r="127">
      <c r="Q127" s="210"/>
    </row>
    <row r="128">
      <c r="Q128" s="210"/>
    </row>
    <row r="129">
      <c r="Q129" s="210"/>
    </row>
    <row r="130">
      <c r="Q130" s="210"/>
    </row>
    <row r="131">
      <c r="Q131" s="210"/>
    </row>
    <row r="132">
      <c r="Q132" s="210"/>
    </row>
    <row r="133">
      <c r="Q133" s="210"/>
    </row>
    <row r="134">
      <c r="Q134" s="210"/>
    </row>
    <row r="135">
      <c r="Q135" s="210"/>
    </row>
    <row r="136">
      <c r="Q136" s="210"/>
    </row>
    <row r="137">
      <c r="Q137" s="210"/>
    </row>
    <row r="138">
      <c r="Q138" s="210"/>
    </row>
    <row r="139">
      <c r="Q139" s="210"/>
    </row>
    <row r="140">
      <c r="Q140" s="210"/>
    </row>
    <row r="141">
      <c r="Q141" s="210"/>
    </row>
    <row r="142">
      <c r="Q142" s="210"/>
    </row>
    <row r="143">
      <c r="Q143" s="210"/>
    </row>
    <row r="144">
      <c r="Q144" s="210"/>
    </row>
    <row r="145">
      <c r="Q145" s="210"/>
    </row>
    <row r="146">
      <c r="Q146" s="210"/>
    </row>
    <row r="147">
      <c r="Q147" s="210"/>
    </row>
    <row r="148">
      <c r="Q148" s="210"/>
    </row>
    <row r="149">
      <c r="Q149" s="210"/>
    </row>
    <row r="150">
      <c r="Q150" s="210"/>
    </row>
    <row r="151">
      <c r="Q151" s="210"/>
    </row>
    <row r="152">
      <c r="Q152" s="210"/>
    </row>
    <row r="153">
      <c r="Q153" s="210"/>
    </row>
    <row r="154">
      <c r="Q154" s="210"/>
    </row>
    <row r="155">
      <c r="Q155" s="210"/>
    </row>
    <row r="156">
      <c r="Q156" s="210"/>
    </row>
    <row r="157">
      <c r="Q157" s="210"/>
    </row>
    <row r="158">
      <c r="Q158" s="210"/>
    </row>
    <row r="159">
      <c r="Q159" s="210"/>
    </row>
    <row r="160">
      <c r="Q160" s="210"/>
    </row>
    <row r="161">
      <c r="Q161" s="210"/>
    </row>
    <row r="162">
      <c r="Q162" s="210"/>
    </row>
    <row r="163">
      <c r="Q163" s="210"/>
    </row>
    <row r="164">
      <c r="Q164" s="210"/>
    </row>
    <row r="165">
      <c r="Q165" s="210"/>
    </row>
    <row r="166">
      <c r="Q166" s="210"/>
    </row>
    <row r="167">
      <c r="Q167" s="210"/>
    </row>
    <row r="168">
      <c r="Q168" s="210"/>
    </row>
    <row r="169">
      <c r="Q169" s="210"/>
    </row>
    <row r="170">
      <c r="Q170" s="210"/>
    </row>
    <row r="171">
      <c r="Q171" s="210"/>
    </row>
    <row r="172">
      <c r="Q172" s="210"/>
    </row>
    <row r="173">
      <c r="Q173" s="210"/>
    </row>
    <row r="174">
      <c r="Q174" s="210"/>
    </row>
    <row r="175">
      <c r="Q175" s="210"/>
    </row>
    <row r="176">
      <c r="Q176" s="210"/>
    </row>
    <row r="177">
      <c r="Q177" s="210"/>
    </row>
    <row r="178">
      <c r="Q178" s="210"/>
    </row>
    <row r="179">
      <c r="Q179" s="210"/>
    </row>
    <row r="180">
      <c r="Q180" s="210"/>
    </row>
    <row r="181">
      <c r="Q181" s="210"/>
    </row>
    <row r="182">
      <c r="Q182" s="210"/>
    </row>
    <row r="183">
      <c r="Q183" s="210"/>
    </row>
    <row r="184">
      <c r="Q184" s="210"/>
    </row>
    <row r="185">
      <c r="Q185" s="210"/>
    </row>
    <row r="186">
      <c r="Q186" s="210"/>
    </row>
    <row r="187">
      <c r="Q187" s="210"/>
    </row>
    <row r="188">
      <c r="Q188" s="210"/>
    </row>
    <row r="189">
      <c r="Q189" s="210"/>
    </row>
    <row r="190">
      <c r="Q190" s="210"/>
    </row>
    <row r="191">
      <c r="Q191" s="210"/>
    </row>
    <row r="192">
      <c r="Q192" s="210"/>
    </row>
    <row r="193">
      <c r="Q193" s="210"/>
    </row>
    <row r="194">
      <c r="Q194" s="210"/>
    </row>
    <row r="195">
      <c r="Q195" s="210"/>
    </row>
    <row r="196">
      <c r="Q196" s="210"/>
    </row>
    <row r="197">
      <c r="Q197" s="210"/>
    </row>
    <row r="198">
      <c r="Q198" s="210"/>
    </row>
    <row r="199">
      <c r="Q199" s="210"/>
    </row>
    <row r="200">
      <c r="Q200" s="210"/>
    </row>
    <row r="201">
      <c r="Q201" s="210"/>
    </row>
    <row r="202">
      <c r="Q202" s="210"/>
    </row>
    <row r="203">
      <c r="Q203" s="210"/>
    </row>
    <row r="204">
      <c r="Q204" s="210"/>
    </row>
    <row r="205">
      <c r="Q205" s="210"/>
    </row>
    <row r="206">
      <c r="Q206" s="210"/>
    </row>
    <row r="207">
      <c r="Q207" s="210"/>
    </row>
    <row r="208">
      <c r="Q208" s="210"/>
    </row>
    <row r="209">
      <c r="Q209" s="210"/>
    </row>
    <row r="210">
      <c r="Q210" s="210"/>
    </row>
    <row r="211">
      <c r="Q211" s="210"/>
    </row>
    <row r="212">
      <c r="Q212" s="210"/>
    </row>
    <row r="213">
      <c r="Q213" s="210"/>
    </row>
    <row r="214">
      <c r="Q214" s="210"/>
    </row>
    <row r="215">
      <c r="Q215" s="210"/>
    </row>
    <row r="216">
      <c r="Q216" s="210"/>
    </row>
    <row r="217">
      <c r="Q217" s="210"/>
    </row>
    <row r="218">
      <c r="Q218" s="210"/>
    </row>
    <row r="219">
      <c r="Q219" s="210"/>
    </row>
    <row r="220">
      <c r="Q220" s="210"/>
    </row>
    <row r="221">
      <c r="Q221" s="210"/>
    </row>
    <row r="222">
      <c r="Q222" s="210"/>
    </row>
    <row r="223">
      <c r="Q223" s="210"/>
    </row>
    <row r="224">
      <c r="Q224" s="210"/>
    </row>
    <row r="225">
      <c r="Q225" s="210"/>
    </row>
    <row r="226">
      <c r="Q226" s="210"/>
    </row>
    <row r="227">
      <c r="Q227" s="210"/>
    </row>
    <row r="228">
      <c r="Q228" s="210"/>
    </row>
    <row r="229">
      <c r="Q229" s="210"/>
    </row>
    <row r="230">
      <c r="Q230" s="210"/>
    </row>
    <row r="231">
      <c r="Q231" s="210"/>
    </row>
    <row r="232">
      <c r="Q232" s="210"/>
    </row>
    <row r="233">
      <c r="Q233" s="210"/>
    </row>
    <row r="234">
      <c r="Q234" s="210"/>
    </row>
    <row r="235">
      <c r="Q235" s="210"/>
    </row>
    <row r="236">
      <c r="Q236" s="210"/>
    </row>
    <row r="237">
      <c r="Q237" s="210"/>
    </row>
    <row r="238">
      <c r="Q238" s="210"/>
    </row>
    <row r="239">
      <c r="Q239" s="210"/>
    </row>
    <row r="240">
      <c r="Q240" s="210"/>
    </row>
    <row r="241">
      <c r="Q241" s="210"/>
    </row>
    <row r="242">
      <c r="Q242" s="210"/>
    </row>
    <row r="243">
      <c r="Q243" s="210"/>
    </row>
    <row r="244">
      <c r="Q244" s="210"/>
    </row>
    <row r="245">
      <c r="Q245" s="210"/>
    </row>
    <row r="246">
      <c r="Q246" s="210"/>
    </row>
    <row r="247">
      <c r="Q247" s="210"/>
    </row>
    <row r="248">
      <c r="Q248" s="210"/>
    </row>
    <row r="249">
      <c r="Q249" s="210"/>
    </row>
    <row r="250">
      <c r="Q250" s="210"/>
    </row>
    <row r="251">
      <c r="Q251" s="210"/>
    </row>
    <row r="252">
      <c r="Q252" s="210"/>
    </row>
    <row r="253">
      <c r="Q253" s="210"/>
    </row>
    <row r="254">
      <c r="Q254" s="210"/>
    </row>
    <row r="255">
      <c r="Q255" s="210"/>
    </row>
    <row r="256">
      <c r="Q256" s="210"/>
    </row>
    <row r="257">
      <c r="Q257" s="210"/>
    </row>
    <row r="258">
      <c r="Q258" s="210"/>
    </row>
    <row r="259">
      <c r="Q259" s="210"/>
    </row>
    <row r="260">
      <c r="Q260" s="210"/>
    </row>
    <row r="261">
      <c r="Q261" s="210"/>
    </row>
    <row r="262">
      <c r="Q262" s="210"/>
    </row>
    <row r="263">
      <c r="Q263" s="210"/>
    </row>
    <row r="264">
      <c r="Q264" s="210"/>
    </row>
    <row r="265">
      <c r="Q265" s="210"/>
    </row>
    <row r="266">
      <c r="Q266" s="210"/>
    </row>
    <row r="267">
      <c r="Q267" s="210"/>
    </row>
    <row r="268">
      <c r="Q268" s="210"/>
    </row>
    <row r="269">
      <c r="Q269" s="210"/>
    </row>
    <row r="270">
      <c r="Q270" s="210"/>
    </row>
    <row r="271">
      <c r="Q271" s="210"/>
    </row>
    <row r="272">
      <c r="Q272" s="210"/>
    </row>
    <row r="273">
      <c r="Q273" s="210"/>
    </row>
    <row r="274">
      <c r="Q274" s="210"/>
    </row>
    <row r="275">
      <c r="Q275" s="210"/>
    </row>
    <row r="276">
      <c r="Q276" s="210"/>
    </row>
    <row r="277">
      <c r="Q277" s="210"/>
    </row>
    <row r="278">
      <c r="Q278" s="210"/>
    </row>
    <row r="279">
      <c r="Q279" s="210"/>
    </row>
    <row r="280">
      <c r="Q280" s="210"/>
    </row>
    <row r="281">
      <c r="Q281" s="210"/>
    </row>
    <row r="282">
      <c r="Q282" s="210"/>
    </row>
    <row r="283">
      <c r="Q283" s="210"/>
    </row>
    <row r="284">
      <c r="Q284" s="210"/>
    </row>
    <row r="285">
      <c r="Q285" s="210"/>
    </row>
    <row r="286">
      <c r="Q286" s="210"/>
    </row>
    <row r="287">
      <c r="Q287" s="210"/>
    </row>
    <row r="288">
      <c r="Q288" s="210"/>
    </row>
    <row r="289">
      <c r="Q289" s="210"/>
    </row>
    <row r="290">
      <c r="Q290" s="210"/>
    </row>
    <row r="291">
      <c r="Q291" s="210"/>
    </row>
    <row r="292">
      <c r="Q292" s="210"/>
    </row>
    <row r="293">
      <c r="Q293" s="210"/>
    </row>
    <row r="294">
      <c r="Q294" s="210"/>
    </row>
    <row r="295">
      <c r="Q295" s="210"/>
    </row>
    <row r="296">
      <c r="Q296" s="210"/>
    </row>
    <row r="297">
      <c r="Q297" s="210"/>
    </row>
    <row r="298">
      <c r="Q298" s="210"/>
    </row>
    <row r="299">
      <c r="Q299" s="210"/>
    </row>
    <row r="300">
      <c r="Q300" s="210"/>
    </row>
    <row r="301">
      <c r="Q301" s="210"/>
    </row>
    <row r="302">
      <c r="Q302" s="210"/>
    </row>
    <row r="303">
      <c r="Q303" s="210"/>
    </row>
    <row r="304">
      <c r="Q304" s="210"/>
    </row>
    <row r="305">
      <c r="Q305" s="210"/>
    </row>
    <row r="306">
      <c r="Q306" s="210"/>
    </row>
    <row r="307">
      <c r="Q307" s="210"/>
    </row>
    <row r="308">
      <c r="Q308" s="210"/>
    </row>
    <row r="309">
      <c r="Q309" s="210"/>
    </row>
    <row r="310">
      <c r="Q310" s="210"/>
    </row>
    <row r="311">
      <c r="Q311" s="210"/>
    </row>
    <row r="312">
      <c r="Q312" s="210"/>
    </row>
    <row r="313">
      <c r="Q313" s="210"/>
    </row>
    <row r="314">
      <c r="Q314" s="210"/>
    </row>
    <row r="315">
      <c r="Q315" s="210"/>
    </row>
    <row r="316">
      <c r="Q316" s="210"/>
    </row>
    <row r="317">
      <c r="Q317" s="210"/>
    </row>
    <row r="318">
      <c r="Q318" s="210"/>
    </row>
    <row r="319">
      <c r="Q319" s="210"/>
    </row>
    <row r="320">
      <c r="Q320" s="210"/>
    </row>
    <row r="321">
      <c r="Q321" s="210"/>
    </row>
    <row r="322">
      <c r="Q322" s="210"/>
    </row>
    <row r="323">
      <c r="Q323" s="210"/>
    </row>
    <row r="324">
      <c r="Q324" s="210"/>
    </row>
    <row r="325">
      <c r="Q325" s="210"/>
    </row>
    <row r="326">
      <c r="Q326" s="210"/>
    </row>
    <row r="327">
      <c r="Q327" s="210"/>
    </row>
    <row r="328">
      <c r="Q328" s="210"/>
    </row>
    <row r="329">
      <c r="Q329" s="210"/>
    </row>
    <row r="330">
      <c r="Q330" s="210"/>
    </row>
    <row r="331">
      <c r="Q331" s="210"/>
    </row>
    <row r="332">
      <c r="Q332" s="210"/>
    </row>
    <row r="333">
      <c r="Q333" s="210"/>
    </row>
    <row r="334">
      <c r="Q334" s="210"/>
    </row>
    <row r="335">
      <c r="Q335" s="210"/>
    </row>
    <row r="336">
      <c r="Q336" s="210"/>
    </row>
    <row r="337">
      <c r="Q337" s="210"/>
    </row>
    <row r="338">
      <c r="Q338" s="210"/>
    </row>
    <row r="339">
      <c r="Q339" s="210"/>
    </row>
    <row r="340">
      <c r="Q340" s="210"/>
    </row>
    <row r="341">
      <c r="Q341" s="210"/>
    </row>
    <row r="342">
      <c r="Q342" s="210"/>
    </row>
    <row r="343">
      <c r="Q343" s="210"/>
    </row>
    <row r="344">
      <c r="Q344" s="210"/>
    </row>
    <row r="345">
      <c r="Q345" s="210"/>
    </row>
    <row r="346">
      <c r="Q346" s="210"/>
    </row>
    <row r="347">
      <c r="Q347" s="210"/>
    </row>
    <row r="348">
      <c r="Q348" s="210"/>
    </row>
    <row r="349">
      <c r="Q349" s="210"/>
    </row>
    <row r="350">
      <c r="Q350" s="210"/>
    </row>
    <row r="351">
      <c r="Q351" s="210"/>
    </row>
    <row r="352">
      <c r="Q352" s="210"/>
    </row>
    <row r="353">
      <c r="Q353" s="210"/>
    </row>
    <row r="354">
      <c r="Q354" s="210"/>
    </row>
    <row r="355">
      <c r="Q355" s="210"/>
    </row>
    <row r="356">
      <c r="Q356" s="210"/>
    </row>
    <row r="357">
      <c r="Q357" s="210"/>
    </row>
    <row r="358">
      <c r="Q358" s="210"/>
    </row>
    <row r="359">
      <c r="Q359" s="210"/>
    </row>
    <row r="360">
      <c r="Q360" s="210"/>
    </row>
    <row r="361">
      <c r="Q361" s="210"/>
    </row>
    <row r="362">
      <c r="Q362" s="210"/>
    </row>
    <row r="363">
      <c r="Q363" s="210"/>
    </row>
    <row r="364">
      <c r="Q364" s="210"/>
    </row>
    <row r="365">
      <c r="Q365" s="210"/>
    </row>
    <row r="366">
      <c r="Q366" s="210"/>
    </row>
    <row r="367">
      <c r="Q367" s="210"/>
    </row>
    <row r="368">
      <c r="Q368" s="210"/>
    </row>
    <row r="369">
      <c r="Q369" s="210"/>
    </row>
    <row r="370">
      <c r="Q370" s="210"/>
    </row>
    <row r="371">
      <c r="Q371" s="210"/>
    </row>
    <row r="372">
      <c r="Q372" s="210"/>
    </row>
    <row r="373">
      <c r="Q373" s="210"/>
    </row>
    <row r="374">
      <c r="Q374" s="210"/>
    </row>
    <row r="375">
      <c r="Q375" s="210"/>
    </row>
    <row r="376">
      <c r="Q376" s="210"/>
    </row>
    <row r="377">
      <c r="Q377" s="210"/>
    </row>
    <row r="378">
      <c r="Q378" s="210"/>
    </row>
    <row r="379">
      <c r="Q379" s="210"/>
    </row>
    <row r="380">
      <c r="Q380" s="210"/>
    </row>
    <row r="381">
      <c r="Q381" s="210"/>
    </row>
    <row r="382">
      <c r="Q382" s="210"/>
    </row>
    <row r="383">
      <c r="Q383" s="210"/>
    </row>
    <row r="384">
      <c r="Q384" s="210"/>
    </row>
    <row r="385">
      <c r="Q385" s="210"/>
    </row>
    <row r="386">
      <c r="Q386" s="210"/>
    </row>
    <row r="387">
      <c r="Q387" s="210"/>
    </row>
    <row r="388">
      <c r="Q388" s="210"/>
    </row>
    <row r="389">
      <c r="Q389" s="210"/>
    </row>
    <row r="390">
      <c r="Q390" s="210"/>
    </row>
    <row r="391">
      <c r="Q391" s="210"/>
    </row>
    <row r="392">
      <c r="Q392" s="210"/>
    </row>
    <row r="393">
      <c r="Q393" s="210"/>
    </row>
    <row r="394">
      <c r="Q394" s="210"/>
    </row>
    <row r="395">
      <c r="Q395" s="210"/>
    </row>
    <row r="396">
      <c r="Q396" s="210"/>
    </row>
    <row r="397">
      <c r="Q397" s="210"/>
    </row>
    <row r="398">
      <c r="Q398" s="210"/>
    </row>
    <row r="399">
      <c r="Q399" s="210"/>
    </row>
    <row r="400">
      <c r="Q400" s="210"/>
    </row>
    <row r="401">
      <c r="Q401" s="210"/>
    </row>
    <row r="402">
      <c r="Q402" s="210"/>
    </row>
    <row r="403">
      <c r="Q403" s="210"/>
    </row>
    <row r="404">
      <c r="Q404" s="210"/>
    </row>
    <row r="405">
      <c r="Q405" s="210"/>
    </row>
    <row r="406">
      <c r="Q406" s="210"/>
    </row>
    <row r="407">
      <c r="Q407" s="210"/>
    </row>
    <row r="408">
      <c r="Q408" s="210"/>
    </row>
    <row r="409">
      <c r="Q409" s="210"/>
    </row>
    <row r="410">
      <c r="Q410" s="210"/>
    </row>
    <row r="411">
      <c r="Q411" s="210"/>
    </row>
    <row r="412">
      <c r="Q412" s="210"/>
    </row>
    <row r="413">
      <c r="Q413" s="210"/>
    </row>
    <row r="414">
      <c r="Q414" s="210"/>
    </row>
    <row r="415">
      <c r="Q415" s="210"/>
    </row>
    <row r="416">
      <c r="Q416" s="210"/>
    </row>
    <row r="417">
      <c r="Q417" s="210"/>
    </row>
    <row r="418">
      <c r="Q418" s="210"/>
    </row>
    <row r="419">
      <c r="Q419" s="210"/>
    </row>
    <row r="420">
      <c r="Q420" s="210"/>
    </row>
    <row r="421">
      <c r="Q421" s="210"/>
    </row>
    <row r="422">
      <c r="Q422" s="210"/>
    </row>
    <row r="423">
      <c r="Q423" s="210"/>
    </row>
    <row r="424">
      <c r="Q424" s="210"/>
    </row>
    <row r="425">
      <c r="Q425" s="210"/>
    </row>
    <row r="426">
      <c r="Q426" s="210"/>
    </row>
    <row r="427">
      <c r="Q427" s="210"/>
    </row>
    <row r="428">
      <c r="Q428" s="210"/>
    </row>
    <row r="429">
      <c r="Q429" s="210"/>
    </row>
    <row r="430">
      <c r="Q430" s="210"/>
    </row>
    <row r="431">
      <c r="Q431" s="210"/>
    </row>
    <row r="432">
      <c r="Q432" s="210"/>
    </row>
    <row r="433">
      <c r="Q433" s="210"/>
    </row>
    <row r="434">
      <c r="Q434" s="210"/>
    </row>
    <row r="435">
      <c r="Q435" s="210"/>
    </row>
    <row r="436">
      <c r="Q436" s="210"/>
    </row>
    <row r="437">
      <c r="Q437" s="210"/>
    </row>
    <row r="438">
      <c r="Q438" s="210"/>
    </row>
    <row r="439">
      <c r="Q439" s="210"/>
    </row>
    <row r="440">
      <c r="Q440" s="210"/>
    </row>
    <row r="441">
      <c r="Q441" s="210"/>
    </row>
    <row r="442">
      <c r="Q442" s="210"/>
    </row>
    <row r="443">
      <c r="Q443" s="210"/>
    </row>
    <row r="444">
      <c r="Q444" s="210"/>
    </row>
    <row r="445">
      <c r="Q445" s="210"/>
    </row>
    <row r="446">
      <c r="Q446" s="210"/>
    </row>
    <row r="447">
      <c r="Q447" s="210"/>
    </row>
    <row r="448">
      <c r="Q448" s="210"/>
    </row>
    <row r="449">
      <c r="Q449" s="210"/>
    </row>
    <row r="450">
      <c r="Q450" s="210"/>
    </row>
    <row r="451">
      <c r="Q451" s="210"/>
    </row>
    <row r="452">
      <c r="Q452" s="210"/>
    </row>
    <row r="453">
      <c r="Q453" s="210"/>
    </row>
    <row r="454">
      <c r="Q454" s="210"/>
    </row>
    <row r="455">
      <c r="Q455" s="210"/>
    </row>
    <row r="456">
      <c r="Q456" s="210"/>
    </row>
    <row r="457">
      <c r="Q457" s="210"/>
    </row>
    <row r="458">
      <c r="Q458" s="210"/>
    </row>
    <row r="459">
      <c r="Q459" s="210"/>
    </row>
    <row r="460">
      <c r="Q460" s="210"/>
    </row>
    <row r="461">
      <c r="Q461" s="210"/>
    </row>
    <row r="462">
      <c r="Q462" s="210"/>
    </row>
    <row r="463">
      <c r="Q463" s="210"/>
    </row>
    <row r="464">
      <c r="Q464" s="210"/>
    </row>
    <row r="465">
      <c r="Q465" s="210"/>
    </row>
    <row r="466">
      <c r="Q466" s="210"/>
    </row>
    <row r="467">
      <c r="Q467" s="210"/>
    </row>
    <row r="468">
      <c r="Q468" s="210"/>
    </row>
    <row r="469">
      <c r="Q469" s="210"/>
    </row>
    <row r="470">
      <c r="Q470" s="210"/>
    </row>
    <row r="471">
      <c r="Q471" s="210"/>
    </row>
    <row r="472">
      <c r="Q472" s="210"/>
    </row>
    <row r="473">
      <c r="Q473" s="210"/>
    </row>
    <row r="474">
      <c r="Q474" s="210"/>
    </row>
    <row r="475">
      <c r="Q475" s="210"/>
    </row>
    <row r="476">
      <c r="Q476" s="210"/>
    </row>
    <row r="477">
      <c r="Q477" s="210"/>
    </row>
    <row r="478">
      <c r="Q478" s="210"/>
    </row>
    <row r="479">
      <c r="Q479" s="210"/>
    </row>
    <row r="480">
      <c r="Q480" s="210"/>
    </row>
    <row r="481">
      <c r="Q481" s="210"/>
    </row>
    <row r="482">
      <c r="Q482" s="210"/>
    </row>
    <row r="483">
      <c r="Q483" s="210"/>
    </row>
    <row r="484">
      <c r="Q484" s="210"/>
    </row>
    <row r="485">
      <c r="Q485" s="210"/>
    </row>
    <row r="486">
      <c r="Q486" s="210"/>
    </row>
    <row r="487">
      <c r="Q487" s="210"/>
    </row>
    <row r="488">
      <c r="Q488" s="210"/>
    </row>
    <row r="489">
      <c r="Q489" s="210"/>
    </row>
    <row r="490">
      <c r="Q490" s="210"/>
    </row>
    <row r="491">
      <c r="Q491" s="210"/>
    </row>
    <row r="492">
      <c r="Q492" s="210"/>
    </row>
    <row r="493">
      <c r="Q493" s="210"/>
    </row>
    <row r="494">
      <c r="Q494" s="210"/>
    </row>
    <row r="495">
      <c r="Q495" s="210"/>
    </row>
    <row r="496">
      <c r="Q496" s="210"/>
    </row>
    <row r="497">
      <c r="Q497" s="210"/>
    </row>
    <row r="498">
      <c r="Q498" s="210"/>
    </row>
    <row r="499">
      <c r="Q499" s="210"/>
    </row>
    <row r="500">
      <c r="Q500" s="210"/>
    </row>
    <row r="501">
      <c r="Q501" s="210"/>
    </row>
    <row r="502">
      <c r="Q502" s="210"/>
    </row>
    <row r="503">
      <c r="Q503" s="210"/>
    </row>
    <row r="504">
      <c r="Q504" s="210"/>
    </row>
    <row r="505">
      <c r="Q505" s="210"/>
    </row>
    <row r="506">
      <c r="Q506" s="210"/>
    </row>
    <row r="507">
      <c r="Q507" s="210"/>
    </row>
    <row r="508">
      <c r="Q508" s="210"/>
    </row>
    <row r="509">
      <c r="Q509" s="210"/>
    </row>
    <row r="510">
      <c r="Q510" s="210"/>
    </row>
    <row r="511">
      <c r="Q511" s="210"/>
    </row>
    <row r="512">
      <c r="Q512" s="210"/>
    </row>
    <row r="513">
      <c r="Q513" s="210"/>
    </row>
    <row r="514">
      <c r="Q514" s="210"/>
    </row>
    <row r="515">
      <c r="Q515" s="210"/>
    </row>
    <row r="516">
      <c r="Q516" s="210"/>
    </row>
    <row r="517">
      <c r="Q517" s="210"/>
    </row>
    <row r="518">
      <c r="Q518" s="210"/>
    </row>
    <row r="519">
      <c r="Q519" s="210"/>
    </row>
    <row r="520">
      <c r="Q520" s="210"/>
    </row>
    <row r="521">
      <c r="Q521" s="210"/>
    </row>
    <row r="522">
      <c r="Q522" s="210"/>
    </row>
    <row r="523">
      <c r="Q523" s="210"/>
    </row>
    <row r="524">
      <c r="Q524" s="210"/>
    </row>
    <row r="525">
      <c r="Q525" s="210"/>
    </row>
    <row r="526">
      <c r="Q526" s="210"/>
    </row>
    <row r="527">
      <c r="Q527" s="210"/>
    </row>
    <row r="528">
      <c r="Q528" s="210"/>
    </row>
    <row r="529">
      <c r="Q529" s="210"/>
    </row>
    <row r="530">
      <c r="Q530" s="210"/>
    </row>
    <row r="531">
      <c r="Q531" s="210"/>
    </row>
    <row r="532">
      <c r="Q532" s="210"/>
    </row>
    <row r="533">
      <c r="Q533" s="210"/>
    </row>
    <row r="534">
      <c r="Q534" s="210"/>
    </row>
    <row r="535">
      <c r="Q535" s="210"/>
    </row>
    <row r="536">
      <c r="Q536" s="210"/>
    </row>
    <row r="537">
      <c r="Q537" s="210"/>
    </row>
    <row r="538">
      <c r="Q538" s="210"/>
    </row>
    <row r="539">
      <c r="Q539" s="210"/>
    </row>
    <row r="540">
      <c r="Q540" s="210"/>
    </row>
    <row r="541">
      <c r="Q541" s="210"/>
    </row>
    <row r="542">
      <c r="Q542" s="210"/>
    </row>
    <row r="543">
      <c r="Q543" s="210"/>
    </row>
    <row r="544">
      <c r="Q544" s="210"/>
    </row>
    <row r="545">
      <c r="Q545" s="210"/>
    </row>
    <row r="546">
      <c r="Q546" s="210"/>
    </row>
    <row r="547">
      <c r="Q547" s="210"/>
    </row>
    <row r="548">
      <c r="Q548" s="210"/>
    </row>
    <row r="549">
      <c r="Q549" s="210"/>
    </row>
    <row r="550">
      <c r="Q550" s="210"/>
    </row>
    <row r="551">
      <c r="Q551" s="210"/>
    </row>
    <row r="552">
      <c r="Q552" s="210"/>
    </row>
    <row r="553">
      <c r="Q553" s="210"/>
    </row>
    <row r="554">
      <c r="Q554" s="210"/>
    </row>
    <row r="555">
      <c r="Q555" s="210"/>
    </row>
    <row r="556">
      <c r="Q556" s="210"/>
    </row>
    <row r="557">
      <c r="Q557" s="210"/>
    </row>
    <row r="558">
      <c r="Q558" s="210"/>
    </row>
    <row r="559">
      <c r="Q559" s="210"/>
    </row>
    <row r="560">
      <c r="Q560" s="210"/>
    </row>
    <row r="561">
      <c r="Q561" s="210"/>
    </row>
    <row r="562">
      <c r="Q562" s="210"/>
    </row>
    <row r="563">
      <c r="Q563" s="210"/>
    </row>
    <row r="564">
      <c r="Q564" s="210"/>
    </row>
    <row r="565">
      <c r="Q565" s="210"/>
    </row>
    <row r="566">
      <c r="Q566" s="210"/>
    </row>
    <row r="567">
      <c r="Q567" s="210"/>
    </row>
    <row r="568">
      <c r="Q568" s="210"/>
    </row>
    <row r="569">
      <c r="Q569" s="210"/>
    </row>
    <row r="570">
      <c r="Q570" s="210"/>
    </row>
    <row r="571">
      <c r="Q571" s="210"/>
    </row>
    <row r="572">
      <c r="Q572" s="210"/>
    </row>
    <row r="573">
      <c r="Q573" s="210"/>
    </row>
    <row r="574">
      <c r="Q574" s="210"/>
    </row>
    <row r="575">
      <c r="Q575" s="210"/>
    </row>
    <row r="576">
      <c r="Q576" s="210"/>
    </row>
    <row r="577">
      <c r="Q577" s="210"/>
    </row>
    <row r="578">
      <c r="Q578" s="210"/>
    </row>
    <row r="579">
      <c r="Q579" s="210"/>
    </row>
    <row r="580">
      <c r="Q580" s="210"/>
    </row>
    <row r="581">
      <c r="Q581" s="210"/>
    </row>
    <row r="582">
      <c r="Q582" s="210"/>
    </row>
    <row r="583">
      <c r="Q583" s="210"/>
    </row>
    <row r="584">
      <c r="Q584" s="210"/>
    </row>
    <row r="585">
      <c r="Q585" s="210"/>
    </row>
    <row r="586">
      <c r="Q586" s="210"/>
    </row>
    <row r="587">
      <c r="Q587" s="210"/>
    </row>
    <row r="588">
      <c r="Q588" s="210"/>
    </row>
    <row r="589">
      <c r="Q589" s="210"/>
    </row>
    <row r="590">
      <c r="Q590" s="210"/>
    </row>
    <row r="591">
      <c r="Q591" s="210"/>
    </row>
    <row r="592">
      <c r="Q592" s="210"/>
    </row>
    <row r="593">
      <c r="Q593" s="210"/>
    </row>
    <row r="594">
      <c r="Q594" s="210"/>
    </row>
    <row r="595">
      <c r="Q595" s="210"/>
    </row>
    <row r="596">
      <c r="Q596" s="210"/>
    </row>
    <row r="597">
      <c r="Q597" s="210"/>
    </row>
    <row r="598">
      <c r="Q598" s="210"/>
    </row>
    <row r="599">
      <c r="Q599" s="210"/>
    </row>
    <row r="600">
      <c r="Q600" s="210"/>
    </row>
    <row r="601">
      <c r="Q601" s="210"/>
    </row>
    <row r="602">
      <c r="Q602" s="210"/>
    </row>
    <row r="603">
      <c r="Q603" s="210"/>
    </row>
    <row r="604">
      <c r="Q604" s="210"/>
    </row>
    <row r="605">
      <c r="Q605" s="210"/>
    </row>
    <row r="606">
      <c r="Q606" s="210"/>
    </row>
    <row r="607">
      <c r="Q607" s="210"/>
    </row>
    <row r="608">
      <c r="Q608" s="210"/>
    </row>
    <row r="609">
      <c r="Q609" s="210"/>
    </row>
    <row r="610">
      <c r="Q610" s="210"/>
    </row>
    <row r="611">
      <c r="Q611" s="210"/>
    </row>
    <row r="612">
      <c r="Q612" s="210"/>
    </row>
    <row r="613">
      <c r="Q613" s="210"/>
    </row>
    <row r="614">
      <c r="Q614" s="210"/>
    </row>
    <row r="615">
      <c r="Q615" s="210"/>
    </row>
    <row r="616">
      <c r="Q616" s="210"/>
    </row>
    <row r="617">
      <c r="Q617" s="210"/>
    </row>
    <row r="618">
      <c r="Q618" s="210"/>
    </row>
    <row r="619">
      <c r="Q619" s="210"/>
    </row>
    <row r="620">
      <c r="Q620" s="210"/>
    </row>
    <row r="621">
      <c r="Q621" s="210"/>
    </row>
    <row r="622">
      <c r="Q622" s="210"/>
    </row>
    <row r="623">
      <c r="Q623" s="210"/>
    </row>
    <row r="624">
      <c r="Q624" s="210"/>
    </row>
    <row r="625">
      <c r="Q625" s="210"/>
    </row>
    <row r="626">
      <c r="Q626" s="210"/>
    </row>
    <row r="627">
      <c r="Q627" s="210"/>
    </row>
    <row r="628">
      <c r="Q628" s="210"/>
    </row>
    <row r="629">
      <c r="Q629" s="210"/>
    </row>
    <row r="630">
      <c r="Q630" s="210"/>
    </row>
    <row r="631">
      <c r="Q631" s="210"/>
    </row>
    <row r="632">
      <c r="Q632" s="210"/>
    </row>
    <row r="633">
      <c r="Q633" s="210"/>
    </row>
    <row r="634">
      <c r="Q634" s="210"/>
    </row>
    <row r="635">
      <c r="Q635" s="210"/>
    </row>
    <row r="636">
      <c r="Q636" s="210"/>
    </row>
    <row r="637">
      <c r="Q637" s="210"/>
    </row>
    <row r="638">
      <c r="Q638" s="210"/>
    </row>
    <row r="639">
      <c r="Q639" s="210"/>
    </row>
    <row r="640">
      <c r="Q640" s="210"/>
    </row>
    <row r="641">
      <c r="Q641" s="210"/>
    </row>
    <row r="642">
      <c r="Q642" s="210"/>
    </row>
    <row r="643">
      <c r="Q643" s="210"/>
    </row>
    <row r="644">
      <c r="Q644" s="210"/>
    </row>
    <row r="645">
      <c r="Q645" s="210"/>
    </row>
    <row r="646">
      <c r="Q646" s="210"/>
    </row>
    <row r="647">
      <c r="Q647" s="210"/>
    </row>
    <row r="648">
      <c r="Q648" s="210"/>
    </row>
    <row r="649">
      <c r="Q649" s="210"/>
    </row>
    <row r="650">
      <c r="Q650" s="210"/>
    </row>
    <row r="651">
      <c r="Q651" s="210"/>
    </row>
    <row r="652">
      <c r="Q652" s="210"/>
    </row>
    <row r="653">
      <c r="Q653" s="210"/>
    </row>
    <row r="654">
      <c r="Q654" s="210"/>
    </row>
    <row r="655">
      <c r="Q655" s="210"/>
    </row>
    <row r="656">
      <c r="Q656" s="210"/>
    </row>
    <row r="657">
      <c r="Q657" s="210"/>
    </row>
    <row r="658">
      <c r="Q658" s="210"/>
    </row>
    <row r="659">
      <c r="Q659" s="210"/>
    </row>
    <row r="660">
      <c r="Q660" s="210"/>
    </row>
    <row r="661">
      <c r="Q661" s="210"/>
    </row>
    <row r="662">
      <c r="Q662" s="210"/>
    </row>
    <row r="663">
      <c r="Q663" s="210"/>
    </row>
    <row r="664">
      <c r="Q664" s="210"/>
    </row>
    <row r="665">
      <c r="Q665" s="210"/>
    </row>
    <row r="666">
      <c r="Q666" s="210"/>
    </row>
    <row r="667">
      <c r="Q667" s="210"/>
    </row>
    <row r="668">
      <c r="Q668" s="210"/>
    </row>
    <row r="669">
      <c r="Q669" s="210"/>
    </row>
    <row r="670">
      <c r="Q670" s="210"/>
    </row>
    <row r="671">
      <c r="Q671" s="210"/>
    </row>
    <row r="672">
      <c r="Q672" s="210"/>
    </row>
    <row r="673">
      <c r="Q673" s="210"/>
    </row>
    <row r="674">
      <c r="Q674" s="210"/>
    </row>
    <row r="675">
      <c r="Q675" s="210"/>
    </row>
    <row r="676">
      <c r="Q676" s="210"/>
    </row>
    <row r="677">
      <c r="Q677" s="210"/>
    </row>
    <row r="678">
      <c r="Q678" s="210"/>
    </row>
    <row r="679">
      <c r="Q679" s="210"/>
    </row>
    <row r="680">
      <c r="Q680" s="210"/>
    </row>
    <row r="681">
      <c r="Q681" s="210"/>
    </row>
    <row r="682">
      <c r="Q682" s="210"/>
    </row>
    <row r="683">
      <c r="Q683" s="210"/>
    </row>
    <row r="684">
      <c r="Q684" s="210"/>
    </row>
    <row r="685">
      <c r="Q685" s="210"/>
    </row>
    <row r="686">
      <c r="Q686" s="210"/>
    </row>
    <row r="687">
      <c r="Q687" s="210"/>
    </row>
    <row r="688">
      <c r="Q688" s="210"/>
    </row>
    <row r="689">
      <c r="Q689" s="210"/>
    </row>
    <row r="690">
      <c r="Q690" s="210"/>
    </row>
    <row r="691">
      <c r="Q691" s="210"/>
    </row>
    <row r="692">
      <c r="Q692" s="210"/>
    </row>
    <row r="693">
      <c r="Q693" s="210"/>
    </row>
    <row r="694">
      <c r="Q694" s="210"/>
    </row>
    <row r="695">
      <c r="Q695" s="210"/>
    </row>
    <row r="696">
      <c r="Q696" s="210"/>
    </row>
    <row r="697">
      <c r="Q697" s="210"/>
    </row>
    <row r="698">
      <c r="Q698" s="210"/>
    </row>
    <row r="699">
      <c r="Q699" s="210"/>
    </row>
    <row r="700">
      <c r="Q700" s="210"/>
    </row>
    <row r="701">
      <c r="Q701" s="210"/>
    </row>
    <row r="702">
      <c r="Q702" s="210"/>
    </row>
    <row r="703">
      <c r="Q703" s="210"/>
    </row>
    <row r="704">
      <c r="Q704" s="210"/>
    </row>
    <row r="705">
      <c r="Q705" s="210"/>
    </row>
    <row r="706">
      <c r="Q706" s="210"/>
    </row>
    <row r="707">
      <c r="Q707" s="210"/>
    </row>
    <row r="708">
      <c r="Q708" s="210"/>
    </row>
    <row r="709">
      <c r="Q709" s="210"/>
    </row>
    <row r="710">
      <c r="Q710" s="210"/>
    </row>
    <row r="711">
      <c r="Q711" s="210"/>
    </row>
    <row r="712">
      <c r="Q712" s="210"/>
    </row>
    <row r="713">
      <c r="Q713" s="210"/>
    </row>
    <row r="714">
      <c r="Q714" s="210"/>
    </row>
    <row r="715">
      <c r="Q715" s="210"/>
    </row>
    <row r="716">
      <c r="Q716" s="210"/>
    </row>
    <row r="717">
      <c r="Q717" s="210"/>
    </row>
    <row r="718">
      <c r="Q718" s="210"/>
    </row>
    <row r="719">
      <c r="Q719" s="210"/>
    </row>
    <row r="720">
      <c r="Q720" s="210"/>
    </row>
    <row r="721">
      <c r="Q721" s="210"/>
    </row>
    <row r="722">
      <c r="Q722" s="210"/>
    </row>
    <row r="723">
      <c r="Q723" s="210"/>
    </row>
    <row r="724">
      <c r="Q724" s="210"/>
    </row>
    <row r="725">
      <c r="Q725" s="210"/>
    </row>
    <row r="726">
      <c r="Q726" s="210"/>
    </row>
    <row r="727">
      <c r="Q727" s="210"/>
    </row>
    <row r="728">
      <c r="Q728" s="210"/>
    </row>
    <row r="729">
      <c r="Q729" s="210"/>
    </row>
    <row r="730">
      <c r="Q730" s="210"/>
    </row>
    <row r="731">
      <c r="Q731" s="210"/>
    </row>
    <row r="732">
      <c r="Q732" s="210"/>
    </row>
    <row r="733">
      <c r="Q733" s="210"/>
    </row>
    <row r="734">
      <c r="Q734" s="210"/>
    </row>
    <row r="735">
      <c r="Q735" s="210"/>
    </row>
    <row r="736">
      <c r="Q736" s="210"/>
    </row>
    <row r="737">
      <c r="Q737" s="210"/>
    </row>
    <row r="738">
      <c r="Q738" s="210"/>
    </row>
    <row r="739">
      <c r="Q739" s="210"/>
    </row>
    <row r="740">
      <c r="Q740" s="210"/>
    </row>
    <row r="741">
      <c r="Q741" s="210"/>
    </row>
    <row r="742">
      <c r="Q742" s="210"/>
    </row>
    <row r="743">
      <c r="Q743" s="210"/>
    </row>
    <row r="744">
      <c r="Q744" s="210"/>
    </row>
    <row r="745">
      <c r="Q745" s="210"/>
    </row>
    <row r="746">
      <c r="Q746" s="210"/>
    </row>
    <row r="747">
      <c r="Q747" s="210"/>
    </row>
    <row r="748">
      <c r="Q748" s="210"/>
    </row>
    <row r="749">
      <c r="Q749" s="210"/>
    </row>
    <row r="750">
      <c r="Q750" s="210"/>
    </row>
    <row r="751">
      <c r="Q751" s="210"/>
    </row>
    <row r="752">
      <c r="Q752" s="210"/>
    </row>
    <row r="753">
      <c r="Q753" s="210"/>
    </row>
    <row r="754">
      <c r="Q754" s="210"/>
    </row>
    <row r="755">
      <c r="Q755" s="210"/>
    </row>
    <row r="756">
      <c r="Q756" s="210"/>
    </row>
    <row r="757">
      <c r="Q757" s="210"/>
    </row>
    <row r="758">
      <c r="Q758" s="210"/>
    </row>
    <row r="759">
      <c r="Q759" s="210"/>
    </row>
    <row r="760">
      <c r="Q760" s="210"/>
    </row>
    <row r="761">
      <c r="Q761" s="210"/>
    </row>
    <row r="762">
      <c r="Q762" s="210"/>
    </row>
    <row r="763">
      <c r="Q763" s="210"/>
    </row>
    <row r="764">
      <c r="Q764" s="210"/>
    </row>
    <row r="765">
      <c r="Q765" s="210"/>
    </row>
    <row r="766">
      <c r="Q766" s="210"/>
    </row>
    <row r="767">
      <c r="Q767" s="210"/>
    </row>
    <row r="768">
      <c r="Q768" s="210"/>
    </row>
    <row r="769">
      <c r="Q769" s="210"/>
    </row>
    <row r="770">
      <c r="Q770" s="210"/>
    </row>
    <row r="771">
      <c r="Q771" s="210"/>
    </row>
    <row r="772">
      <c r="Q772" s="210"/>
    </row>
    <row r="773">
      <c r="Q773" s="210"/>
    </row>
    <row r="774">
      <c r="Q774" s="210"/>
    </row>
    <row r="775">
      <c r="Q775" s="210"/>
    </row>
    <row r="776">
      <c r="Q776" s="210"/>
    </row>
    <row r="777">
      <c r="Q777" s="210"/>
    </row>
    <row r="778">
      <c r="Q778" s="210"/>
    </row>
    <row r="779">
      <c r="Q779" s="210"/>
    </row>
    <row r="780">
      <c r="Q780" s="210"/>
    </row>
    <row r="781">
      <c r="Q781" s="210"/>
    </row>
    <row r="782">
      <c r="Q782" s="210"/>
    </row>
    <row r="783">
      <c r="Q783" s="210"/>
    </row>
    <row r="784">
      <c r="Q784" s="210"/>
    </row>
    <row r="785">
      <c r="Q785" s="210"/>
    </row>
    <row r="786">
      <c r="Q786" s="210"/>
    </row>
    <row r="787">
      <c r="Q787" s="210"/>
    </row>
    <row r="788">
      <c r="Q788" s="210"/>
    </row>
    <row r="789">
      <c r="Q789" s="210"/>
    </row>
    <row r="790">
      <c r="Q790" s="210"/>
    </row>
    <row r="791">
      <c r="Q791" s="210"/>
    </row>
    <row r="792">
      <c r="Q792" s="210"/>
    </row>
    <row r="793">
      <c r="Q793" s="210"/>
    </row>
    <row r="794">
      <c r="Q794" s="210"/>
    </row>
    <row r="795">
      <c r="Q795" s="210"/>
    </row>
    <row r="796">
      <c r="Q796" s="210"/>
    </row>
    <row r="797">
      <c r="Q797" s="210"/>
    </row>
    <row r="798">
      <c r="Q798" s="210"/>
    </row>
    <row r="799">
      <c r="Q799" s="210"/>
    </row>
    <row r="800">
      <c r="Q800" s="210"/>
    </row>
    <row r="801">
      <c r="Q801" s="210"/>
    </row>
    <row r="802">
      <c r="Q802" s="210"/>
    </row>
    <row r="803">
      <c r="Q803" s="210"/>
    </row>
    <row r="804">
      <c r="Q804" s="210"/>
    </row>
    <row r="805">
      <c r="Q805" s="210"/>
    </row>
    <row r="806">
      <c r="Q806" s="210"/>
    </row>
    <row r="807">
      <c r="Q807" s="210"/>
    </row>
    <row r="808">
      <c r="Q808" s="210"/>
    </row>
    <row r="809">
      <c r="Q809" s="210"/>
    </row>
    <row r="810">
      <c r="Q810" s="210"/>
    </row>
    <row r="811">
      <c r="Q811" s="210"/>
    </row>
    <row r="812">
      <c r="Q812" s="210"/>
    </row>
    <row r="813">
      <c r="Q813" s="210"/>
    </row>
    <row r="814">
      <c r="Q814" s="210"/>
    </row>
    <row r="815">
      <c r="Q815" s="210"/>
    </row>
    <row r="816">
      <c r="Q816" s="210"/>
    </row>
    <row r="817">
      <c r="Q817" s="210"/>
    </row>
    <row r="818">
      <c r="Q818" s="210"/>
    </row>
    <row r="819">
      <c r="Q819" s="210"/>
    </row>
    <row r="820">
      <c r="Q820" s="210"/>
    </row>
    <row r="821">
      <c r="Q821" s="210"/>
    </row>
    <row r="822">
      <c r="Q822" s="210"/>
    </row>
    <row r="823">
      <c r="Q823" s="210"/>
    </row>
    <row r="824">
      <c r="Q824" s="210"/>
    </row>
    <row r="825">
      <c r="Q825" s="210"/>
    </row>
    <row r="826">
      <c r="Q826" s="210"/>
    </row>
    <row r="827">
      <c r="Q827" s="210"/>
    </row>
    <row r="828">
      <c r="Q828" s="210"/>
    </row>
    <row r="829">
      <c r="Q829" s="210"/>
    </row>
    <row r="830">
      <c r="Q830" s="210"/>
    </row>
    <row r="831">
      <c r="Q831" s="210"/>
    </row>
    <row r="832">
      <c r="Q832" s="210"/>
    </row>
    <row r="833">
      <c r="Q833" s="210"/>
    </row>
    <row r="834">
      <c r="Q834" s="210"/>
    </row>
    <row r="835">
      <c r="Q835" s="210"/>
    </row>
    <row r="836">
      <c r="Q836" s="210"/>
    </row>
    <row r="837">
      <c r="Q837" s="210"/>
    </row>
    <row r="838">
      <c r="Q838" s="210"/>
    </row>
    <row r="839">
      <c r="Q839" s="210"/>
    </row>
    <row r="840">
      <c r="Q840" s="210"/>
    </row>
    <row r="841">
      <c r="Q841" s="210"/>
    </row>
    <row r="842">
      <c r="Q842" s="210"/>
    </row>
    <row r="843">
      <c r="Q843" s="210"/>
    </row>
    <row r="844">
      <c r="Q844" s="210"/>
    </row>
    <row r="845">
      <c r="Q845" s="210"/>
    </row>
    <row r="846">
      <c r="Q846" s="210"/>
    </row>
    <row r="847">
      <c r="Q847" s="210"/>
    </row>
    <row r="848">
      <c r="Q848" s="210"/>
    </row>
    <row r="849">
      <c r="Q849" s="210"/>
    </row>
    <row r="850">
      <c r="Q850" s="210"/>
    </row>
    <row r="851">
      <c r="Q851" s="210"/>
    </row>
    <row r="852">
      <c r="Q852" s="210"/>
    </row>
    <row r="853">
      <c r="Q853" s="210"/>
    </row>
    <row r="854">
      <c r="Q854" s="210"/>
    </row>
    <row r="855">
      <c r="Q855" s="210"/>
    </row>
    <row r="856">
      <c r="Q856" s="210"/>
    </row>
    <row r="857">
      <c r="Q857" s="210"/>
    </row>
    <row r="858">
      <c r="Q858" s="210"/>
    </row>
    <row r="859">
      <c r="Q859" s="210"/>
    </row>
    <row r="860">
      <c r="Q860" s="210"/>
    </row>
    <row r="861">
      <c r="Q861" s="210"/>
    </row>
    <row r="862">
      <c r="Q862" s="210"/>
    </row>
    <row r="863">
      <c r="Q863" s="210"/>
    </row>
    <row r="864">
      <c r="Q864" s="210"/>
    </row>
    <row r="865">
      <c r="Q865" s="210"/>
    </row>
    <row r="866">
      <c r="Q866" s="210"/>
    </row>
    <row r="867">
      <c r="Q867" s="210"/>
    </row>
    <row r="868">
      <c r="Q868" s="210"/>
    </row>
    <row r="869">
      <c r="Q869" s="210"/>
    </row>
    <row r="870">
      <c r="Q870" s="210"/>
    </row>
    <row r="871">
      <c r="Q871" s="210"/>
    </row>
    <row r="872">
      <c r="Q872" s="210"/>
    </row>
    <row r="873">
      <c r="Q873" s="210"/>
    </row>
    <row r="874">
      <c r="Q874" s="210"/>
    </row>
    <row r="875">
      <c r="Q875" s="210"/>
    </row>
    <row r="876">
      <c r="Q876" s="210"/>
    </row>
    <row r="877">
      <c r="Q877" s="210"/>
    </row>
    <row r="878">
      <c r="Q878" s="210"/>
    </row>
    <row r="879">
      <c r="Q879" s="210"/>
    </row>
    <row r="880">
      <c r="Q880" s="210"/>
    </row>
    <row r="881">
      <c r="Q881" s="210"/>
    </row>
    <row r="882">
      <c r="Q882" s="210"/>
    </row>
    <row r="883">
      <c r="Q883" s="210"/>
    </row>
    <row r="884">
      <c r="Q884" s="210"/>
    </row>
    <row r="885">
      <c r="Q885" s="210"/>
    </row>
    <row r="886">
      <c r="Q886" s="210"/>
    </row>
    <row r="887">
      <c r="Q887" s="210"/>
    </row>
    <row r="888">
      <c r="Q888" s="210"/>
    </row>
    <row r="889">
      <c r="Q889" s="210"/>
    </row>
    <row r="890">
      <c r="Q890" s="210"/>
    </row>
    <row r="891">
      <c r="Q891" s="210"/>
    </row>
    <row r="892">
      <c r="Q892" s="210"/>
    </row>
    <row r="893">
      <c r="Q893" s="210"/>
    </row>
    <row r="894">
      <c r="Q894" s="210"/>
    </row>
    <row r="895">
      <c r="Q895" s="210"/>
    </row>
    <row r="896">
      <c r="Q896" s="210"/>
    </row>
    <row r="897">
      <c r="Q897" s="210"/>
    </row>
    <row r="898">
      <c r="Q898" s="210"/>
    </row>
    <row r="899">
      <c r="Q899" s="210"/>
    </row>
    <row r="900">
      <c r="Q900" s="210"/>
    </row>
    <row r="901">
      <c r="Q901" s="210"/>
    </row>
    <row r="902">
      <c r="Q902" s="210"/>
    </row>
    <row r="903">
      <c r="Q903" s="210"/>
    </row>
    <row r="904">
      <c r="Q904" s="210"/>
    </row>
    <row r="905">
      <c r="Q905" s="210"/>
    </row>
    <row r="906">
      <c r="Q906" s="210"/>
    </row>
    <row r="907">
      <c r="Q907" s="210"/>
    </row>
    <row r="908">
      <c r="Q908" s="210"/>
    </row>
    <row r="909">
      <c r="Q909" s="210"/>
    </row>
    <row r="910">
      <c r="Q910" s="210"/>
    </row>
    <row r="911">
      <c r="Q911" s="210"/>
    </row>
    <row r="912">
      <c r="Q912" s="210"/>
    </row>
    <row r="913">
      <c r="Q913" s="210"/>
    </row>
    <row r="914">
      <c r="Q914" s="210"/>
    </row>
    <row r="915">
      <c r="Q915" s="210"/>
    </row>
    <row r="916">
      <c r="Q916" s="210"/>
    </row>
    <row r="917">
      <c r="Q917" s="210"/>
    </row>
    <row r="918">
      <c r="Q918" s="210"/>
    </row>
    <row r="919">
      <c r="Q919" s="210"/>
    </row>
    <row r="920">
      <c r="Q920" s="210"/>
    </row>
    <row r="921">
      <c r="Q921" s="210"/>
    </row>
    <row r="922">
      <c r="Q922" s="210"/>
    </row>
    <row r="923">
      <c r="Q923" s="210"/>
    </row>
    <row r="924">
      <c r="Q924" s="210"/>
    </row>
    <row r="925">
      <c r="Q925" s="210"/>
    </row>
    <row r="926">
      <c r="Q926" s="210"/>
    </row>
    <row r="927">
      <c r="Q927" s="210"/>
    </row>
    <row r="928">
      <c r="Q928" s="210"/>
    </row>
    <row r="929">
      <c r="Q929" s="210"/>
    </row>
    <row r="930">
      <c r="Q930" s="210"/>
    </row>
    <row r="931">
      <c r="Q931" s="210"/>
    </row>
    <row r="932">
      <c r="Q932" s="210"/>
    </row>
    <row r="933">
      <c r="Q933" s="210"/>
    </row>
    <row r="934">
      <c r="Q934" s="210"/>
    </row>
    <row r="935">
      <c r="Q935" s="210"/>
    </row>
    <row r="936">
      <c r="Q936" s="210"/>
    </row>
    <row r="937">
      <c r="Q937" s="210"/>
    </row>
    <row r="938">
      <c r="Q938" s="210"/>
    </row>
    <row r="939">
      <c r="Q939" s="210"/>
    </row>
    <row r="940">
      <c r="Q940" s="210"/>
    </row>
    <row r="941">
      <c r="Q941" s="210"/>
    </row>
    <row r="942">
      <c r="Q942" s="210"/>
    </row>
    <row r="943">
      <c r="Q943" s="210"/>
    </row>
    <row r="944">
      <c r="Q944" s="210"/>
    </row>
    <row r="945">
      <c r="Q945" s="210"/>
    </row>
    <row r="946">
      <c r="Q946" s="210"/>
    </row>
    <row r="947">
      <c r="Q947" s="210"/>
    </row>
    <row r="948">
      <c r="Q948" s="210"/>
    </row>
    <row r="949">
      <c r="Q949" s="210"/>
    </row>
    <row r="950">
      <c r="Q950" s="210"/>
    </row>
    <row r="951">
      <c r="Q951" s="210"/>
    </row>
    <row r="952">
      <c r="Q952" s="210"/>
    </row>
    <row r="953">
      <c r="Q953" s="210"/>
    </row>
    <row r="954">
      <c r="Q954" s="210"/>
    </row>
    <row r="955">
      <c r="Q955" s="210"/>
    </row>
    <row r="956">
      <c r="Q956" s="210"/>
    </row>
    <row r="957">
      <c r="Q957" s="210"/>
    </row>
    <row r="958">
      <c r="Q958" s="210"/>
    </row>
    <row r="959">
      <c r="Q959" s="210"/>
    </row>
    <row r="960">
      <c r="Q960" s="210"/>
    </row>
    <row r="961">
      <c r="Q961" s="210"/>
    </row>
    <row r="962">
      <c r="Q962" s="210"/>
    </row>
    <row r="963">
      <c r="Q963" s="210"/>
    </row>
    <row r="964">
      <c r="Q964" s="210"/>
    </row>
    <row r="965">
      <c r="Q965" s="210"/>
    </row>
    <row r="966">
      <c r="Q966" s="210"/>
    </row>
    <row r="967">
      <c r="Q967" s="210"/>
    </row>
    <row r="968">
      <c r="Q968" s="210"/>
    </row>
    <row r="969">
      <c r="Q969" s="210"/>
    </row>
    <row r="970">
      <c r="Q970" s="210"/>
    </row>
    <row r="971">
      <c r="Q971" s="210"/>
    </row>
    <row r="972">
      <c r="Q972" s="210"/>
    </row>
    <row r="973">
      <c r="Q973" s="210"/>
    </row>
    <row r="974">
      <c r="Q974" s="210"/>
    </row>
  </sheetData>
  <mergeCells count="24">
    <mergeCell ref="G2:G3"/>
    <mergeCell ref="H2:H3"/>
    <mergeCell ref="A6:A17"/>
    <mergeCell ref="A18:A35"/>
    <mergeCell ref="A36:A47"/>
    <mergeCell ref="A48:A57"/>
    <mergeCell ref="A58:A65"/>
    <mergeCell ref="A1:A3"/>
    <mergeCell ref="B1:B3"/>
    <mergeCell ref="C1:C3"/>
    <mergeCell ref="D1:D3"/>
    <mergeCell ref="E1:E3"/>
    <mergeCell ref="F1:F3"/>
    <mergeCell ref="G1:I1"/>
    <mergeCell ref="I2:I3"/>
    <mergeCell ref="M2:M3"/>
    <mergeCell ref="N2:O3"/>
    <mergeCell ref="J1:O1"/>
    <mergeCell ref="P1:P3"/>
    <mergeCell ref="Q1:Q3"/>
    <mergeCell ref="R1:R3"/>
    <mergeCell ref="J2:J3"/>
    <mergeCell ref="K2:K3"/>
    <mergeCell ref="L2:L3"/>
  </mergeCells>
  <dataValidations>
    <dataValidation type="list" allowBlank="1" showErrorMessage="1" sqref="F6:F65">
      <formula1>Config!$J$2:$J$12</formula1>
    </dataValidation>
    <dataValidation type="list" allowBlank="1" showErrorMessage="1" sqref="D6:D65">
      <formula1>Config!$K$2:$K$12</formula1>
    </dataValidation>
    <dataValidation type="list" allowBlank="1" showErrorMessage="1" sqref="E6:E65">
      <formula1>Config!$H$2:$H$12</formula1>
    </dataValidation>
    <dataValidation type="list" allowBlank="1" showErrorMessage="1" sqref="Q6:Q65">
      <formula1>Config!$I$2:$I$12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3.75"/>
    <col customWidth="1" min="3" max="3" width="31.25"/>
    <col customWidth="1" min="4" max="4" width="11.5"/>
    <col customWidth="1" min="5" max="5" width="31.13"/>
    <col customWidth="1" min="6" max="6" width="31.0"/>
    <col customWidth="1" min="8" max="8" width="38.38"/>
  </cols>
  <sheetData>
    <row r="1">
      <c r="A1" s="168" t="s">
        <v>81</v>
      </c>
      <c r="B1" s="168" t="s">
        <v>82</v>
      </c>
      <c r="C1" s="168" t="s">
        <v>83</v>
      </c>
      <c r="D1" s="168" t="s">
        <v>71</v>
      </c>
      <c r="E1" s="168" t="s">
        <v>84</v>
      </c>
      <c r="F1" s="168" t="s">
        <v>85</v>
      </c>
      <c r="G1" s="168" t="s">
        <v>13</v>
      </c>
      <c r="H1" s="168" t="s">
        <v>86</v>
      </c>
    </row>
    <row r="2">
      <c r="A2" s="169" t="s">
        <v>87</v>
      </c>
      <c r="B2" s="170">
        <v>46230.0</v>
      </c>
      <c r="C2" s="169" t="s">
        <v>88</v>
      </c>
      <c r="D2" s="169" t="s">
        <v>89</v>
      </c>
      <c r="E2" s="169" t="s">
        <v>90</v>
      </c>
      <c r="F2" s="169" t="s">
        <v>91</v>
      </c>
      <c r="G2" s="169" t="s">
        <v>46</v>
      </c>
      <c r="H2" s="169" t="s">
        <v>92</v>
      </c>
    </row>
    <row r="3">
      <c r="A3" s="174"/>
      <c r="B3" s="174"/>
      <c r="C3" s="174"/>
      <c r="D3" s="174"/>
      <c r="E3" s="174"/>
      <c r="F3" s="174"/>
      <c r="G3" s="174"/>
      <c r="H3" s="174"/>
    </row>
    <row r="4">
      <c r="A4" s="174"/>
      <c r="B4" s="174"/>
      <c r="C4" s="174"/>
      <c r="D4" s="174"/>
      <c r="E4" s="174"/>
      <c r="F4" s="174"/>
      <c r="G4" s="174"/>
      <c r="H4" s="174"/>
    </row>
    <row r="5">
      <c r="A5" s="174"/>
      <c r="B5" s="174"/>
      <c r="C5" s="174"/>
      <c r="D5" s="174"/>
      <c r="E5" s="174"/>
      <c r="F5" s="174"/>
      <c r="G5" s="174"/>
      <c r="H5" s="174"/>
    </row>
    <row r="6">
      <c r="A6" s="174"/>
      <c r="B6" s="174"/>
      <c r="C6" s="174"/>
      <c r="D6" s="174"/>
      <c r="E6" s="174"/>
      <c r="F6" s="174"/>
      <c r="G6" s="174"/>
      <c r="H6" s="174"/>
    </row>
    <row r="7">
      <c r="A7" s="174"/>
      <c r="B7" s="174"/>
      <c r="C7" s="174"/>
      <c r="D7" s="174"/>
      <c r="E7" s="174"/>
      <c r="F7" s="174"/>
      <c r="G7" s="174"/>
      <c r="H7" s="174"/>
    </row>
    <row r="8">
      <c r="A8" s="174"/>
      <c r="B8" s="174"/>
      <c r="C8" s="174"/>
      <c r="D8" s="174"/>
      <c r="E8" s="174"/>
      <c r="F8" s="174"/>
      <c r="G8" s="174"/>
      <c r="H8" s="174"/>
    </row>
  </sheetData>
  <dataValidations>
    <dataValidation type="list" allowBlank="1" showErrorMessage="1" sqref="G2">
      <formula1>Config!$I$2:$I$12</formula1>
    </dataValidation>
    <dataValidation type="list" allowBlank="1" showErrorMessage="1" sqref="D2">
      <formula1>Config!$J$2:$J$12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3.88"/>
    <col customWidth="1" min="3" max="3" width="42.25"/>
    <col customWidth="1" min="4" max="4" width="11.5"/>
    <col customWidth="1" min="5" max="5" width="27.75"/>
    <col customWidth="1" min="6" max="6" width="31.88"/>
    <col customWidth="1" min="8" max="8" width="38.38"/>
  </cols>
  <sheetData>
    <row r="1">
      <c r="A1" s="168" t="s">
        <v>81</v>
      </c>
      <c r="B1" s="168" t="s">
        <v>82</v>
      </c>
      <c r="C1" s="168" t="s">
        <v>83</v>
      </c>
      <c r="D1" s="168" t="s">
        <v>71</v>
      </c>
      <c r="E1" s="168" t="s">
        <v>84</v>
      </c>
      <c r="F1" s="168" t="s">
        <v>85</v>
      </c>
      <c r="G1" s="168" t="s">
        <v>13</v>
      </c>
      <c r="H1" s="168" t="s">
        <v>86</v>
      </c>
    </row>
    <row r="2">
      <c r="A2" s="169" t="s">
        <v>102</v>
      </c>
      <c r="B2" s="170">
        <v>46230.0</v>
      </c>
      <c r="C2" s="169" t="s">
        <v>103</v>
      </c>
      <c r="D2" s="169" t="s">
        <v>89</v>
      </c>
      <c r="E2" s="169" t="s">
        <v>104</v>
      </c>
      <c r="F2" s="169" t="s">
        <v>105</v>
      </c>
      <c r="G2" s="169" t="s">
        <v>46</v>
      </c>
      <c r="H2" s="169" t="s">
        <v>92</v>
      </c>
    </row>
    <row r="3">
      <c r="A3" s="174"/>
      <c r="B3" s="174"/>
      <c r="C3" s="174"/>
      <c r="D3" s="174"/>
      <c r="E3" s="174"/>
      <c r="F3" s="174"/>
      <c r="G3" s="174"/>
      <c r="H3" s="174"/>
    </row>
    <row r="4">
      <c r="A4" s="174"/>
      <c r="B4" s="174"/>
      <c r="C4" s="174"/>
      <c r="D4" s="174"/>
      <c r="E4" s="174"/>
      <c r="F4" s="174"/>
      <c r="G4" s="174"/>
      <c r="H4" s="174"/>
    </row>
    <row r="5">
      <c r="A5" s="174"/>
      <c r="B5" s="174"/>
      <c r="C5" s="174"/>
      <c r="D5" s="174"/>
      <c r="E5" s="174"/>
      <c r="F5" s="174"/>
      <c r="G5" s="174"/>
      <c r="H5" s="174"/>
    </row>
    <row r="6">
      <c r="A6" s="174"/>
      <c r="B6" s="174"/>
      <c r="C6" s="174"/>
      <c r="D6" s="174"/>
      <c r="E6" s="174"/>
      <c r="F6" s="174"/>
      <c r="G6" s="174"/>
      <c r="H6" s="174"/>
    </row>
    <row r="7">
      <c r="A7" s="174"/>
      <c r="B7" s="174"/>
      <c r="C7" s="174"/>
      <c r="D7" s="174"/>
      <c r="E7" s="174"/>
      <c r="F7" s="174"/>
      <c r="G7" s="174"/>
      <c r="H7" s="174"/>
    </row>
    <row r="8">
      <c r="A8" s="174"/>
      <c r="B8" s="174"/>
      <c r="C8" s="174"/>
      <c r="D8" s="174"/>
      <c r="E8" s="174"/>
      <c r="F8" s="174"/>
      <c r="G8" s="174"/>
      <c r="H8" s="174"/>
    </row>
  </sheetData>
  <dataValidations>
    <dataValidation type="list" allowBlank="1" showErrorMessage="1" sqref="G2">
      <formula1>Config!$I$2:$I$12</formula1>
    </dataValidation>
    <dataValidation type="list" allowBlank="1" showErrorMessage="1" sqref="D2">
      <formula1>Config!$J$2:$J$12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4" max="4" width="13.0"/>
  </cols>
  <sheetData>
    <row r="1">
      <c r="A1" s="191" t="s">
        <v>121</v>
      </c>
      <c r="B1" s="191" t="s">
        <v>123</v>
      </c>
      <c r="C1" s="191" t="s">
        <v>124</v>
      </c>
      <c r="D1" s="191" t="s">
        <v>126</v>
      </c>
      <c r="E1" s="191" t="s">
        <v>127</v>
      </c>
      <c r="F1" s="191" t="s">
        <v>128</v>
      </c>
      <c r="G1" s="191" t="s">
        <v>129</v>
      </c>
      <c r="H1" s="192" t="s">
        <v>21</v>
      </c>
      <c r="I1" s="192" t="s">
        <v>13</v>
      </c>
      <c r="J1" s="192" t="s">
        <v>71</v>
      </c>
      <c r="K1" s="192" t="s">
        <v>18</v>
      </c>
      <c r="L1" s="192"/>
    </row>
    <row r="2">
      <c r="E2" s="193" t="s">
        <v>130</v>
      </c>
      <c r="F2" s="194" t="s">
        <v>60</v>
      </c>
      <c r="G2" s="193" t="s">
        <v>131</v>
      </c>
      <c r="H2" s="195" t="s">
        <v>132</v>
      </c>
      <c r="I2" s="196" t="s">
        <v>46</v>
      </c>
      <c r="J2" s="197" t="s">
        <v>89</v>
      </c>
      <c r="K2" s="9" t="s">
        <v>54</v>
      </c>
      <c r="L2" s="196"/>
    </row>
    <row r="3">
      <c r="E3" s="193" t="s">
        <v>133</v>
      </c>
      <c r="F3" s="194" t="s">
        <v>134</v>
      </c>
      <c r="G3" s="193" t="s">
        <v>135</v>
      </c>
      <c r="H3" s="195" t="s">
        <v>110</v>
      </c>
      <c r="I3" s="196" t="s">
        <v>38</v>
      </c>
      <c r="J3" s="197" t="s">
        <v>136</v>
      </c>
      <c r="K3" s="9" t="s">
        <v>62</v>
      </c>
      <c r="L3" s="196"/>
    </row>
    <row r="4">
      <c r="E4" s="193" t="s">
        <v>137</v>
      </c>
      <c r="F4" s="194" t="s">
        <v>138</v>
      </c>
      <c r="G4" s="193" t="s">
        <v>139</v>
      </c>
      <c r="H4" s="195" t="s">
        <v>95</v>
      </c>
      <c r="I4" s="196" t="s">
        <v>96</v>
      </c>
      <c r="J4" s="197" t="s">
        <v>141</v>
      </c>
      <c r="L4" s="196"/>
    </row>
    <row r="5">
      <c r="E5" s="193" t="s">
        <v>143</v>
      </c>
      <c r="F5" s="194" t="s">
        <v>144</v>
      </c>
      <c r="G5" s="193" t="s">
        <v>145</v>
      </c>
      <c r="H5" s="195" t="s">
        <v>146</v>
      </c>
      <c r="I5" s="197" t="s">
        <v>147</v>
      </c>
      <c r="J5" s="197" t="s">
        <v>148</v>
      </c>
    </row>
    <row r="6">
      <c r="E6" s="193" t="s">
        <v>149</v>
      </c>
      <c r="F6" s="194" t="s">
        <v>150</v>
      </c>
      <c r="G6" s="193" t="s">
        <v>151</v>
      </c>
      <c r="H6" s="195" t="s">
        <v>101</v>
      </c>
      <c r="I6" s="197" t="s">
        <v>152</v>
      </c>
      <c r="J6" s="196"/>
    </row>
    <row r="7">
      <c r="F7" s="193" t="s">
        <v>153</v>
      </c>
      <c r="G7" s="193" t="s">
        <v>154</v>
      </c>
      <c r="H7" s="195" t="s">
        <v>120</v>
      </c>
      <c r="I7" s="197"/>
      <c r="J7" s="196"/>
    </row>
    <row r="8">
      <c r="G8" s="193" t="s">
        <v>155</v>
      </c>
      <c r="H8" s="195" t="s">
        <v>115</v>
      </c>
      <c r="I8" s="196"/>
      <c r="J8" s="196"/>
    </row>
    <row r="9">
      <c r="G9" s="193" t="s">
        <v>156</v>
      </c>
      <c r="H9" s="193"/>
      <c r="I9" s="196"/>
      <c r="J9" s="196"/>
    </row>
    <row r="10">
      <c r="G10" s="193" t="s">
        <v>157</v>
      </c>
      <c r="H10" s="193"/>
      <c r="I10" s="196"/>
      <c r="J10" s="196"/>
    </row>
    <row r="11">
      <c r="G11" s="193" t="s">
        <v>158</v>
      </c>
      <c r="H11" s="193"/>
    </row>
    <row r="12">
      <c r="G12" s="193" t="s">
        <v>159</v>
      </c>
      <c r="H12" s="193"/>
    </row>
    <row r="13">
      <c r="G13" s="193" t="s">
        <v>160</v>
      </c>
      <c r="H13" s="193"/>
    </row>
    <row r="14">
      <c r="G14" s="193" t="s">
        <v>161</v>
      </c>
      <c r="H14" s="193"/>
    </row>
    <row r="15">
      <c r="G15" s="193" t="s">
        <v>162</v>
      </c>
      <c r="H15" s="193"/>
    </row>
  </sheetData>
  <drawing r:id="rId1"/>
</worksheet>
</file>